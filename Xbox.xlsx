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oaob\OneDrive\Documents\Projetos\Dio Klabin\Excel\"/>
    </mc:Choice>
  </mc:AlternateContent>
  <xr:revisionPtr revIDLastSave="0" documentId="13_ncr:1_{4FD3ED0E-2380-4D23-AC6A-4ACD18D77686}" xr6:coauthVersionLast="47" xr6:coauthVersionMax="47" xr10:uidLastSave="{00000000-0000-0000-0000-000000000000}"/>
  <bookViews>
    <workbookView xWindow="-120" yWindow="-120" windowWidth="29040" windowHeight="1584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ea_pass">C̳álculos!$B$24:$C$26</definedName>
    <definedName name="microsoft_pass">C̳álculos!$B$32:$C$34</definedName>
    <definedName name="SegmentaçãodeDados_Plan">#N/A</definedName>
  </definedNames>
  <calcPr calcId="191029"/>
  <pivotCaches>
    <pivotCache cacheId="9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7" i="3" l="1"/>
  <c r="F34" i="3"/>
</calcChain>
</file>

<file path=xl/sharedStrings.xml><?xml version="1.0" encoding="utf-8"?>
<sst xmlns="http://schemas.openxmlformats.org/spreadsheetml/2006/main" count="2021" uniqueCount="322">
  <si>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</si>
  <si>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</si>
  <si>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</si>
  <si>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</si>
  <si>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</si>
  <si>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</si>
  <si>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</si>
  <si>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</si>
  <si>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</si>
  <si>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</si>
  <si>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</si>
  <si>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</si>
  <si>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</si>
  <si>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</si>
  <si>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</si>
  <si>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</si>
  <si>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</si>
  <si>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</si>
  <si>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</si>
  <si>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</si>
  <si>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</si>
  <si>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</si>
  <si>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</si>
  <si>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</si>
  <si>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</si>
  <si>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</si>
  <si>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</si>
  <si>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</si>
  <si>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</si>
  <si>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</si>
  <si>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</si>
  <si>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</si>
  <si>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</si>
  <si>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</si>
  <si>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</si>
  <si>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</si>
  <si>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</si>
  <si>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</si>
  <si>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</si>
  <si>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</si>
  <si>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</si>
  <si>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</si>
  <si>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</si>
  <si>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</si>
  <si>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</si>
  <si>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</si>
  <si>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</si>
  <si>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</si>
  <si>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</si>
  <si>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</si>
  <si>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</si>
  <si>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</si>
  <si>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</si>
  <si>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</si>
  <si>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</si>
  <si>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</si>
  <si>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</si>
  <si>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</si>
  <si>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</si>
  <si>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</si>
  <si>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</si>
  <si>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</si>
  <si>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</si>
  <si>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</si>
  <si>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</si>
  <si>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</si>
  <si>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</si>
  <si>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</si>
  <si>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</si>
  <si>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</si>
  <si>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</si>
  <si>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</si>
  <si>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</si>
  <si>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</si>
  <si>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</si>
  <si>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</si>
  <si>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</si>
  <si>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</si>
  <si>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</si>
  <si>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</si>
  <si>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</si>
  <si>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</si>
  <si>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</si>
  <si>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</si>
  <si>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</si>
  <si>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</si>
  <si>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</si>
  <si>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</si>
  <si>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</si>
  <si>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</si>
  <si>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</si>
  <si>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</si>
  <si>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</si>
  <si>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</si>
  <si>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</si>
  <si>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</si>
  <si>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</si>
  <si>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</si>
  <si>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</si>
  <si>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</si>
  <si>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</si>
  <si>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</si>
  <si>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</si>
  <si>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</si>
  <si>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</si>
  <si>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</si>
  <si>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</si>
  <si>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</si>
  <si>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</si>
  <si>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</si>
  <si>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</si>
  <si>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</si>
  <si>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</si>
  <si>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</si>
  <si>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</si>
  <si>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</si>
  <si>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</si>
  <si>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</si>
  <si>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</si>
  <si>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</si>
  <si>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</si>
  <si>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</si>
  <si>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</si>
  <si>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</si>
  <si>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</si>
  <si>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</si>
  <si>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</si>
  <si>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</si>
  <si>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</si>
  <si>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</si>
  <si>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</si>
  <si>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</si>
  <si>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</si>
  <si>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</si>
  <si>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</si>
  <si>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</si>
  <si>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</si>
  <si>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</si>
  <si>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</si>
  <si>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</si>
  <si>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</si>
  <si>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</si>
  <si>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</si>
  <si>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</si>
  <si>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</si>
  <si>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</si>
  <si>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</si>
  <si>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</si>
  <si>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</si>
  <si>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</si>
  <si>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</si>
  <si>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</si>
  <si>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</si>
  <si>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</si>
  <si>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</si>
  <si>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</si>
  <si>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</si>
  <si>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</si>
  <si>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</si>
  <si>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</si>
  <si>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</si>
  <si>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</si>
  <si>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</si>
  <si>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</si>
  <si>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</si>
  <si>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</si>
  <si>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</si>
  <si>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</si>
  <si>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</si>
  <si>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</si>
  <si>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</si>
  <si>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</si>
  <si>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</si>
  <si>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</si>
  <si>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</si>
  <si>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</si>
  <si>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</si>
  <si>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</si>
  <si>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</si>
  <si>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</si>
  <si>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</si>
  <si>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</si>
  <si>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</si>
  <si>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</si>
  <si>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</si>
  <si>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</si>
  <si>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</si>
  <si>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</si>
  <si>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</si>
  <si>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</si>
  <si>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</si>
  <si>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</si>
  <si>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</si>
  <si>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</si>
  <si>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</si>
  <si>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</si>
  <si>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</si>
  <si>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</si>
  <si>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</si>
  <si>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</si>
  <si>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</si>
  <si>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</si>
  <si>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</si>
  <si>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</si>
  <si>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</si>
  <si>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</si>
  <si>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</si>
  <si>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</si>
  <si>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</si>
  <si>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</si>
  <si>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</si>
  <si>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</si>
  <si>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</si>
  <si>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</si>
  <si>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</si>
  <si>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</si>
  <si>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</si>
  <si>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</si>
  <si>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</si>
  <si>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</si>
  <si>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</si>
  <si>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</si>
  <si>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</si>
  <si>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</si>
  <si>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</si>
  <si>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</si>
  <si>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</si>
  <si>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</si>
  <si>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</si>
  <si>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</si>
  <si>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</si>
  <si>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</si>
  <si>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</si>
  <si>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</si>
  <si>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</si>
  <si>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</si>
  <si>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</si>
  <si>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</si>
  <si>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</si>
  <si>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</si>
  <si>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</si>
  <si>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</si>
  <si>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</si>
  <si>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</si>
  <si>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</si>
  <si>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</si>
  <si>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</si>
  <si>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</si>
  <si>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</si>
  <si>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</si>
  <si>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</si>
  <si>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</si>
  <si>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</si>
  <si>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</si>
  <si>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</si>
  <si>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</si>
  <si>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</si>
  <si>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</si>
  <si>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</si>
  <si>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</si>
  <si>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</si>
  <si>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</si>
  <si>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</si>
  <si>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</si>
  <si>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</si>
  <si>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</si>
  <si>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</si>
  <si>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</si>
  <si>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</si>
  <si>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</si>
  <si>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</si>
  <si>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</si>
  <si>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</si>
  <si>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</si>
  <si>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</si>
  <si>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</si>
  <si>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</si>
  <si>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</si>
  <si>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</si>
  <si>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</si>
  <si>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</si>
  <si>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</si>
  <si>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</si>
  <si>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</si>
  <si>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</si>
  <si>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</si>
  <si>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</si>
  <si>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</si>
  <si>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</si>
  <si>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</si>
  <si>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</si>
  <si>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</si>
  <si>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</si>
  <si>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</si>
  <si>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</si>
  <si>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</si>
  <si>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</si>
  <si>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</si>
  <si>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</si>
  <si>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</si>
  <si>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</si>
  <si>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</si>
  <si>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</si>
  <si>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</si>
  <si>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</si>
  <si>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</si>
  <si>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</si>
  <si>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</si>
  <si>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</si>
  <si>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</si>
  <si>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</si>
  <si>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</si>
  <si>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</si>
  <si>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</si>
  <si>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</si>
  <si>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</si>
  <si>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Rótulos de Coluna</t>
  </si>
  <si>
    <t>Qual é o faturamento de total de vendas de planos anuais (contendo todas as assinaturas)</t>
  </si>
  <si>
    <t>Qual é o faturamento total de vendas de planos anuais, separado por auto renovação</t>
  </si>
  <si>
    <t>Qual é o total de vendas do ea pass</t>
  </si>
  <si>
    <t>Qual é o total de vendas do minecraft pass</t>
  </si>
  <si>
    <t>RELATÓRIO DE VENDAS XBOX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</si>
</sst>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9BC848"/>
      <name val="Aptos Narrow"/>
      <family val="2"/>
      <scheme val="minor"/>
    </font>
    <font>
      <b/>
      <sz val="15"/>
      <color theme="9" tint="-0.499984740745262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2C55E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2" applyNumberFormat="0" applyFill="0" applyAlignment="0" applyProtection="0"/>
    <xf numFmtId="44" fontId="2" fillId="0" borderId="0" applyFont="0" applyFill="0" applyBorder="0" applyAlignment="0" applyProtection="0"/>
    <xf numFmtId="0" fontId="4" fillId="0" borderId="1" applyNumberFormat="0" applyFill="0" applyAlignment="0" applyProtection="0"/>
  </cellStyleXfs>
  <cellXfs count="18">
    <xf numFmtId="0" fontId="0" fillId="0" borderId="0" xfId="0"/>
    <xf numFmtId="0" fontId="1" fillId="0" borderId="2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5" fillId="4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0" fontId="6" fillId="0" borderId="2" xfId="1" applyFont="1"/>
  </cellXfs>
  <cellStyles count="4">
    <cellStyle name="Moeda" xfId="2" builtinId="4"/>
    <cellStyle name="Normal" xfId="0" builtinId="0"/>
    <cellStyle name="Título 1" xfId="1" builtinId="16" customBuiltin="1"/>
    <cellStyle name="Título 3" xfId="3" builtinId="18" customBuiltin="1"/>
  </cellStyles>
  <dxfs count="18">
    <dxf>
      <font>
        <b/>
        <i val="0"/>
        <sz val="14"/>
        <color theme="0"/>
      </font>
      <border>
        <bottom style="thin">
          <color theme="9"/>
        </bottom>
        <vertical/>
        <horizontal/>
      </border>
    </dxf>
    <dxf>
      <font>
        <color theme="0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4"/>
        <color theme="0"/>
      </font>
      <border>
        <bottom style="thin">
          <color theme="9"/>
        </bottom>
        <vertical/>
        <horizontal/>
      </border>
    </dxf>
    <dxf>
      <font>
        <color auto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2" defaultTableStyle="TableStyleMedium2" defaultPivotStyle="PivotStyleLight16">
    <tableStyle name="Custom" pivot="0" table="0" count="10" xr9:uid="{138BBD30-9F3D-4414-A2B5-4B6AE8F05564}">
      <tableStyleElement type="wholeTable" dxfId="3"/>
      <tableStyleElement type="headerRow" dxfId="2"/>
    </tableStyle>
    <tableStyle name="SlicerStyleLight6 2" pivot="0" table="0" count="10" xr9:uid="{F8071B7E-8F89-4EBE-A1BA-1A9B3C707C98}">
      <tableStyleElement type="wholeTable" dxfId="1"/>
      <tableStyleElement type="headerRow" dxfId="0"/>
    </tableStyle>
  </tableStyles>
  <colors>
    <mruColors>
      <color rgb="FF22C55E"/>
      <color rgb="FFE8E6E9"/>
      <color rgb="FF9BC848"/>
      <color rgb="FF5BF6A8"/>
      <color rgb="FF000000"/>
      <color rgb="FFE0E0E0"/>
      <color rgb="FFEDEDED"/>
      <color rgb="FFF7F8FC"/>
      <color rgb="FF2AE6B1"/>
      <color rgb="FFE70011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theme="9" tint="0.59999389629810485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theme="9" tint="-0.25098422193060094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b/>
            <i val="0"/>
            <sz val="14"/>
            <color rgb="FF22C55E"/>
          </font>
          <fill>
            <patternFill patternType="darkGray">
              <fgColor theme="0"/>
              <bgColor theme="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14"/>
            <color theme="0"/>
          </font>
          <fill>
            <patternFill patternType="darkGray">
              <fgColor rgb="FF22C55E"/>
              <bgColor rgb="FF22C55E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Custom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[Xbox.xlsx]C̳álculos!Total vendas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 sz="1800">
                <a:solidFill>
                  <a:sysClr val="windowText" lastClr="000000"/>
                </a:solidFill>
              </a:rPr>
              <a:t>Total de vendas por plano</a:t>
            </a:r>
          </a:p>
        </c:rich>
      </c:tx>
      <c:layout>
        <c:manualLayout>
          <c:xMode val="edge"/>
          <c:yMode val="edge"/>
          <c:x val="0.39594191457607364"/>
          <c:y val="0.207063469339059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9BC84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086841842240341E-2"/>
          <c:y val="0.25462420034375127"/>
          <c:w val="0.87910767859895678"/>
          <c:h val="0.6496076642901906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C̳álculos!$B$6:$B$8</c:f>
              <c:strCache>
                <c:ptCount val="2"/>
                <c:pt idx="0">
                  <c:v>Core</c:v>
                </c:pt>
                <c:pt idx="1">
                  <c:v>Ultimate</c:v>
                </c:pt>
              </c:strCache>
            </c:strRef>
          </c:cat>
          <c:val>
            <c:numRef>
              <c:f>C̳álculos!$C$6:$C$8</c:f>
              <c:numCache>
                <c:formatCode>General</c:formatCode>
                <c:ptCount val="2"/>
                <c:pt idx="0">
                  <c:v>444</c:v>
                </c:pt>
                <c:pt idx="1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4F-41BD-81A0-51343FFA1E6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925868495"/>
        <c:axId val="1925864751"/>
      </c:barChart>
      <c:catAx>
        <c:axId val="192586849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5864751"/>
        <c:crosses val="autoZero"/>
        <c:auto val="0"/>
        <c:lblAlgn val="ctr"/>
        <c:lblOffset val="100"/>
        <c:noMultiLvlLbl val="0"/>
      </c:catAx>
      <c:valAx>
        <c:axId val="19258647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2586849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9525</xdr:colOff>
      <xdr:row>27</xdr:row>
      <xdr:rowOff>142874</xdr:rowOff>
    </xdr:from>
    <xdr:to>
      <xdr:col>3</xdr:col>
      <xdr:colOff>416001</xdr:colOff>
      <xdr:row>31</xdr:row>
      <xdr:rowOff>133350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695325" y="5200649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702469</xdr:colOff>
      <xdr:row>0</xdr:row>
      <xdr:rowOff>178593</xdr:rowOff>
    </xdr:from>
    <xdr:to>
      <xdr:col>0</xdr:col>
      <xdr:colOff>1202532</xdr:colOff>
      <xdr:row>2</xdr:row>
      <xdr:rowOff>95249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5506B0B-7740-4BA9-8ED6-498943F195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67442" b="-4441"/>
        <a:stretch/>
      </xdr:blipFill>
      <xdr:spPr>
        <a:xfrm>
          <a:off x="702469" y="178593"/>
          <a:ext cx="500063" cy="452437"/>
        </a:xfrm>
        <a:prstGeom prst="rect">
          <a:avLst/>
        </a:prstGeom>
      </xdr:spPr>
    </xdr:pic>
    <xdr:clientData/>
  </xdr:twoCellAnchor>
  <xdr:twoCellAnchor>
    <xdr:from>
      <xdr:col>2</xdr:col>
      <xdr:colOff>121270</xdr:colOff>
      <xdr:row>13</xdr:row>
      <xdr:rowOff>97631</xdr:rowOff>
    </xdr:from>
    <xdr:to>
      <xdr:col>18</xdr:col>
      <xdr:colOff>495300</xdr:colOff>
      <xdr:row>36</xdr:row>
      <xdr:rowOff>126206</xdr:rowOff>
    </xdr:to>
    <xdr:grpSp>
      <xdr:nvGrpSpPr>
        <xdr:cNvPr id="15" name="tbl_total_anual">
          <a:extLst>
            <a:ext uri="{FF2B5EF4-FFF2-40B4-BE49-F238E27FC236}">
              <a16:creationId xmlns:a16="http://schemas.microsoft.com/office/drawing/2014/main" id="{1EA3E0DC-0A0A-490C-B231-7800E4EE4898}"/>
            </a:ext>
          </a:extLst>
        </xdr:cNvPr>
        <xdr:cNvGrpSpPr/>
      </xdr:nvGrpSpPr>
      <xdr:grpSpPr>
        <a:xfrm>
          <a:off x="2654920" y="2545556"/>
          <a:ext cx="11985005" cy="4191000"/>
          <a:chOff x="2635870" y="1012031"/>
          <a:chExt cx="5748511" cy="4191000"/>
        </a:xfrm>
      </xdr:grpSpPr>
      <xdr:sp macro="" textlink="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193CFD79-0BAD-4FF1-BDD9-F6C0BB8DD286}"/>
              </a:ext>
            </a:extLst>
          </xdr:cNvPr>
          <xdr:cNvSpPr/>
        </xdr:nvSpPr>
        <xdr:spPr>
          <a:xfrm>
            <a:off x="2640806" y="1730334"/>
            <a:ext cx="5743575" cy="3083784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10" name="tbl_anual_total">
            <a:extLst>
              <a:ext uri="{FF2B5EF4-FFF2-40B4-BE49-F238E27FC236}">
                <a16:creationId xmlns:a16="http://schemas.microsoft.com/office/drawing/2014/main" id="{20DF9436-3E08-4EB0-8770-917B7838288C}"/>
              </a:ext>
            </a:extLst>
          </xdr:cNvPr>
          <xdr:cNvGraphicFramePr>
            <a:graphicFrameLocks/>
          </xdr:cNvGraphicFramePr>
        </xdr:nvGraphicFramePr>
        <xdr:xfrm>
          <a:off x="2635870" y="1012031"/>
          <a:ext cx="5626906" cy="4191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absolute">
    <xdr:from>
      <xdr:col>0</xdr:col>
      <xdr:colOff>28575</xdr:colOff>
      <xdr:row>5</xdr:row>
      <xdr:rowOff>123827</xdr:rowOff>
    </xdr:from>
    <xdr:to>
      <xdr:col>0</xdr:col>
      <xdr:colOff>2028825</xdr:colOff>
      <xdr:row>13</xdr:row>
      <xdr:rowOff>14288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Planos">
              <a:extLst>
                <a:ext uri="{FF2B5EF4-FFF2-40B4-BE49-F238E27FC236}">
                  <a16:creationId xmlns:a16="http://schemas.microsoft.com/office/drawing/2014/main" id="{9842079F-6E3B-420A-B777-08028B918C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o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" y="990602"/>
              <a:ext cx="2000250" cy="147161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114300</xdr:colOff>
      <xdr:row>6</xdr:row>
      <xdr:rowOff>104772</xdr:rowOff>
    </xdr:from>
    <xdr:to>
      <xdr:col>9</xdr:col>
      <xdr:colOff>142875</xdr:colOff>
      <xdr:row>15</xdr:row>
      <xdr:rowOff>142873</xdr:rowOff>
    </xdr:to>
    <xdr:grpSp>
      <xdr:nvGrpSpPr>
        <xdr:cNvPr id="31" name="Agrupar 30">
          <a:extLst>
            <a:ext uri="{FF2B5EF4-FFF2-40B4-BE49-F238E27FC236}">
              <a16:creationId xmlns:a16="http://schemas.microsoft.com/office/drawing/2014/main" id="{3203AA73-42EB-431C-BA03-6479CC92C02A}"/>
            </a:ext>
          </a:extLst>
        </xdr:cNvPr>
        <xdr:cNvGrpSpPr/>
      </xdr:nvGrpSpPr>
      <xdr:grpSpPr>
        <a:xfrm>
          <a:off x="2647950" y="1104897"/>
          <a:ext cx="5724525" cy="1847851"/>
          <a:chOff x="2647950" y="1104897"/>
          <a:chExt cx="5724525" cy="1847851"/>
        </a:xfrm>
      </xdr:grpSpPr>
      <xdr:sp macro="" textlink="">
        <xdr:nvSpPr>
          <xdr:cNvPr id="16" name="Retângulo: Cantos Superiores Arredondados 15">
            <a:extLst>
              <a:ext uri="{FF2B5EF4-FFF2-40B4-BE49-F238E27FC236}">
                <a16:creationId xmlns:a16="http://schemas.microsoft.com/office/drawing/2014/main" id="{1B66CE06-38A9-46D6-8ADF-7A6B9FB83C6E}"/>
              </a:ext>
            </a:extLst>
          </xdr:cNvPr>
          <xdr:cNvSpPr/>
        </xdr:nvSpPr>
        <xdr:spPr>
          <a:xfrm rot="10800000">
            <a:off x="2647950" y="1162048"/>
            <a:ext cx="5715000" cy="1752601"/>
          </a:xfrm>
          <a:prstGeom prst="round2Same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/>
              <a:t>--</a:t>
            </a:r>
          </a:p>
        </xdr:txBody>
      </xdr:sp>
      <xdr:sp macro="" textlink="">
        <xdr:nvSpPr>
          <xdr:cNvPr id="17" name="Retângulo: Cantos Superiores Arredondados 16">
            <a:extLst>
              <a:ext uri="{FF2B5EF4-FFF2-40B4-BE49-F238E27FC236}">
                <a16:creationId xmlns:a16="http://schemas.microsoft.com/office/drawing/2014/main" id="{9885A335-901B-4953-A64A-3645D7C6F748}"/>
              </a:ext>
            </a:extLst>
          </xdr:cNvPr>
          <xdr:cNvSpPr/>
        </xdr:nvSpPr>
        <xdr:spPr>
          <a:xfrm>
            <a:off x="2657475" y="1104897"/>
            <a:ext cx="5715000" cy="58102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400">
                <a:solidFill>
                  <a:schemeClr val="bg1"/>
                </a:solidFill>
              </a:rPr>
              <a:t>TOTAL</a:t>
            </a:r>
            <a:r>
              <a:rPr lang="pt-BR" sz="2400" baseline="0">
                <a:solidFill>
                  <a:schemeClr val="bg1"/>
                </a:solidFill>
              </a:rPr>
              <a:t> DE VENDAS EA SEASON PASS</a:t>
            </a:r>
            <a:endParaRPr lang="pt-BR" sz="2400">
              <a:solidFill>
                <a:schemeClr val="bg1"/>
              </a:solidFill>
            </a:endParaRPr>
          </a:p>
        </xdr:txBody>
      </xdr:sp>
      <xdr:sp macro="" textlink="C̳álculos!F27">
        <xdr:nvSpPr>
          <xdr:cNvPr id="18" name="Retângulo 17">
            <a:extLst>
              <a:ext uri="{FF2B5EF4-FFF2-40B4-BE49-F238E27FC236}">
                <a16:creationId xmlns:a16="http://schemas.microsoft.com/office/drawing/2014/main" id="{1B5ECA51-3668-4BAF-90D2-407E65215028}"/>
              </a:ext>
            </a:extLst>
          </xdr:cNvPr>
          <xdr:cNvSpPr/>
        </xdr:nvSpPr>
        <xdr:spPr>
          <a:xfrm>
            <a:off x="4238625" y="1857375"/>
            <a:ext cx="3638550" cy="8763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44FE9960-BB2E-4E2D-9453-A68529A767B6}" type="TxLink">
              <a:rPr lang="en-US" sz="3600" b="0" i="0" u="none" strike="noStrike">
                <a:solidFill>
                  <a:srgbClr val="000000"/>
                </a:solidFill>
                <a:latin typeface="Aptos Narrow"/>
              </a:rPr>
              <a:pPr algn="ctr"/>
              <a:t> R$ 5.388,00 </a:t>
            </a:fld>
            <a:endParaRPr lang="pt-BR" sz="3600"/>
          </a:p>
        </xdr:txBody>
      </xdr:sp>
      <xdr:pic>
        <xdr:nvPicPr>
          <xdr:cNvPr id="19" name="Imagem 18">
            <a:extLst>
              <a:ext uri="{FF2B5EF4-FFF2-40B4-BE49-F238E27FC236}">
                <a16:creationId xmlns:a16="http://schemas.microsoft.com/office/drawing/2014/main" id="{EB3AFB37-BC34-4F29-BBDA-86205C8CE7B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38450" y="1576121"/>
            <a:ext cx="1638300" cy="1376627"/>
          </a:xfrm>
          <a:prstGeom prst="rect">
            <a:avLst/>
          </a:prstGeom>
        </xdr:spPr>
      </xdr:pic>
    </xdr:grpSp>
    <xdr:clientData/>
  </xdr:twoCellAnchor>
  <xdr:twoCellAnchor>
    <xdr:from>
      <xdr:col>10</xdr:col>
      <xdr:colOff>19050</xdr:colOff>
      <xdr:row>6</xdr:row>
      <xdr:rowOff>76197</xdr:rowOff>
    </xdr:from>
    <xdr:to>
      <xdr:col>18</xdr:col>
      <xdr:colOff>438150</xdr:colOff>
      <xdr:row>15</xdr:row>
      <xdr:rowOff>76199</xdr:rowOff>
    </xdr:to>
    <xdr:grpSp>
      <xdr:nvGrpSpPr>
        <xdr:cNvPr id="32" name="Agrupar 31">
          <a:extLst>
            <a:ext uri="{FF2B5EF4-FFF2-40B4-BE49-F238E27FC236}">
              <a16:creationId xmlns:a16="http://schemas.microsoft.com/office/drawing/2014/main" id="{6309CA2A-AB97-46DF-AAB8-4C0E223B7434}"/>
            </a:ext>
          </a:extLst>
        </xdr:cNvPr>
        <xdr:cNvGrpSpPr/>
      </xdr:nvGrpSpPr>
      <xdr:grpSpPr>
        <a:xfrm>
          <a:off x="8934450" y="1076322"/>
          <a:ext cx="5705475" cy="1809752"/>
          <a:chOff x="8934450" y="1076322"/>
          <a:chExt cx="5724525" cy="1809752"/>
        </a:xfrm>
      </xdr:grpSpPr>
      <xdr:sp macro="" textlink="">
        <xdr:nvSpPr>
          <xdr:cNvPr id="22" name="Retângulo: Cantos Superiores Arredondados 21">
            <a:extLst>
              <a:ext uri="{FF2B5EF4-FFF2-40B4-BE49-F238E27FC236}">
                <a16:creationId xmlns:a16="http://schemas.microsoft.com/office/drawing/2014/main" id="{241D8536-025C-47B4-8F6B-9A646EE21073}"/>
              </a:ext>
            </a:extLst>
          </xdr:cNvPr>
          <xdr:cNvSpPr/>
        </xdr:nvSpPr>
        <xdr:spPr>
          <a:xfrm rot="10800000">
            <a:off x="8934450" y="1133473"/>
            <a:ext cx="5715000" cy="1752601"/>
          </a:xfrm>
          <a:prstGeom prst="round2Same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/>
              <a:t>--</a:t>
            </a:r>
          </a:p>
        </xdr:txBody>
      </xdr:sp>
      <xdr:sp macro="" textlink="">
        <xdr:nvSpPr>
          <xdr:cNvPr id="23" name="Retângulo: Cantos Superiores Arredondados 22">
            <a:extLst>
              <a:ext uri="{FF2B5EF4-FFF2-40B4-BE49-F238E27FC236}">
                <a16:creationId xmlns:a16="http://schemas.microsoft.com/office/drawing/2014/main" id="{A413A4C2-A4EC-419D-AD93-24AB3A6CDF39}"/>
              </a:ext>
            </a:extLst>
          </xdr:cNvPr>
          <xdr:cNvSpPr/>
        </xdr:nvSpPr>
        <xdr:spPr>
          <a:xfrm>
            <a:off x="8943975" y="1076322"/>
            <a:ext cx="5715000" cy="58102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200"/>
              <a:t>TOTAL</a:t>
            </a:r>
            <a:r>
              <a:rPr lang="pt-BR" sz="2200" baseline="0"/>
              <a:t> DE VENDAS MINECRAFT SEASON PASS</a:t>
            </a:r>
            <a:endParaRPr lang="pt-BR" sz="2200"/>
          </a:p>
        </xdr:txBody>
      </xdr:sp>
      <xdr:sp macro="" textlink="C̳álculos!F34">
        <xdr:nvSpPr>
          <xdr:cNvPr id="24" name="Retângulo 23">
            <a:extLst>
              <a:ext uri="{FF2B5EF4-FFF2-40B4-BE49-F238E27FC236}">
                <a16:creationId xmlns:a16="http://schemas.microsoft.com/office/drawing/2014/main" id="{9CE1E6A8-B674-4655-B0E4-3754051D7043}"/>
              </a:ext>
            </a:extLst>
          </xdr:cNvPr>
          <xdr:cNvSpPr/>
        </xdr:nvSpPr>
        <xdr:spPr>
          <a:xfrm>
            <a:off x="10525125" y="1828800"/>
            <a:ext cx="3638550" cy="8763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968BDCE8-2F8F-4979-ACF0-AEAE35E72306}" type="TxLink">
              <a:rPr lang="en-US" sz="3600" b="0" i="0" u="none" strike="noStrike">
                <a:solidFill>
                  <a:srgbClr val="000000"/>
                </a:solidFill>
                <a:latin typeface="Aptos Narrow"/>
              </a:rPr>
              <a:t> R$ 5.388,00 </a:t>
            </a:fld>
            <a:endParaRPr lang="pt-BR" sz="3600"/>
          </a:p>
        </xdr:txBody>
      </xdr:sp>
      <xdr:grpSp>
        <xdr:nvGrpSpPr>
          <xdr:cNvPr id="26" name="Agrupar 25">
            <a:extLst>
              <a:ext uri="{FF2B5EF4-FFF2-40B4-BE49-F238E27FC236}">
                <a16:creationId xmlns:a16="http://schemas.microsoft.com/office/drawing/2014/main" id="{EE6CA9B4-6A80-480E-A2E4-6B0C38302F65}"/>
              </a:ext>
            </a:extLst>
          </xdr:cNvPr>
          <xdr:cNvGrpSpPr/>
        </xdr:nvGrpSpPr>
        <xdr:grpSpPr>
          <a:xfrm>
            <a:off x="9172575" y="1876422"/>
            <a:ext cx="1778076" cy="714376"/>
            <a:chOff x="3495675" y="5400674"/>
            <a:chExt cx="1549476" cy="752476"/>
          </a:xfrm>
        </xdr:grpSpPr>
        <xdr:pic>
          <xdr:nvPicPr>
            <xdr:cNvPr id="27" name="Imagem 26">
              <a:extLst>
                <a:ext uri="{FF2B5EF4-FFF2-40B4-BE49-F238E27FC236}">
                  <a16:creationId xmlns:a16="http://schemas.microsoft.com/office/drawing/2014/main" id="{B1875C46-6451-477E-A3A2-C5F45572909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8" name="Gráfico 27">
              <a:extLst>
                <a:ext uri="{FF2B5EF4-FFF2-40B4-BE49-F238E27FC236}">
                  <a16:creationId xmlns:a16="http://schemas.microsoft.com/office/drawing/2014/main" id="{8DBC4327-1676-44D4-BD33-8A30B5A82F7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Bianchi" refreshedDate="45954.038232407409" createdVersion="7" refreshedVersion="7" minRefreshableVersion="3" recordCount="295" xr:uid="{185F5FD3-2744-4A99-9DC6-9C1FD34A4A26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 count="2">
        <n v="20"/>
        <n v="0"/>
      </sharedItems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47157471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n v="30"/>
    <x v="0"/>
    <x v="0"/>
    <n v="5"/>
    <n v="60"/>
  </r>
  <r>
    <n v="3232"/>
    <x v="1"/>
    <x v="1"/>
    <d v="2024-01-15T00:00:00"/>
    <x v="1"/>
    <n v="5"/>
    <x v="1"/>
    <x v="1"/>
    <s v="-"/>
    <x v="1"/>
    <x v="1"/>
    <n v="0"/>
    <n v="5"/>
  </r>
  <r>
    <n v="3233"/>
    <x v="2"/>
    <x v="2"/>
    <d v="2024-02-10T00:00:00"/>
    <x v="0"/>
    <n v="10"/>
    <x v="2"/>
    <x v="1"/>
    <s v="-"/>
    <x v="0"/>
    <x v="0"/>
    <n v="10"/>
    <n v="20"/>
  </r>
  <r>
    <n v="3234"/>
    <x v="3"/>
    <x v="0"/>
    <d v="2024-02-20T00:00:00"/>
    <x v="1"/>
    <n v="15"/>
    <x v="0"/>
    <x v="0"/>
    <n v="30"/>
    <x v="0"/>
    <x v="0"/>
    <n v="3"/>
    <n v="62"/>
  </r>
  <r>
    <n v="3235"/>
    <x v="4"/>
    <x v="1"/>
    <d v="2024-03-05T00:00:00"/>
    <x v="0"/>
    <n v="5"/>
    <x v="0"/>
    <x v="1"/>
    <s v="-"/>
    <x v="1"/>
    <x v="1"/>
    <n v="1"/>
    <n v="4"/>
  </r>
  <r>
    <n v="3236"/>
    <x v="5"/>
    <x v="2"/>
    <d v="2024-03-02T00:00:00"/>
    <x v="1"/>
    <n v="10"/>
    <x v="0"/>
    <x v="1"/>
    <s v="-"/>
    <x v="0"/>
    <x v="0"/>
    <n v="2"/>
    <n v="28"/>
  </r>
  <r>
    <n v="3237"/>
    <x v="6"/>
    <x v="0"/>
    <d v="2024-03-03T00:00:00"/>
    <x v="0"/>
    <n v="15"/>
    <x v="2"/>
    <x v="0"/>
    <n v="30"/>
    <x v="0"/>
    <x v="0"/>
    <n v="10"/>
    <n v="55"/>
  </r>
  <r>
    <n v="3238"/>
    <x v="7"/>
    <x v="1"/>
    <d v="2024-03-04T00:00:00"/>
    <x v="0"/>
    <n v="5"/>
    <x v="1"/>
    <x v="1"/>
    <s v="-"/>
    <x v="1"/>
    <x v="1"/>
    <n v="0"/>
    <n v="5"/>
  </r>
  <r>
    <n v="3239"/>
    <x v="8"/>
    <x v="0"/>
    <d v="2024-03-05T00:00:00"/>
    <x v="1"/>
    <n v="15"/>
    <x v="0"/>
    <x v="0"/>
    <n v="30"/>
    <x v="0"/>
    <x v="0"/>
    <n v="5"/>
    <n v="60"/>
  </r>
  <r>
    <n v="3240"/>
    <x v="9"/>
    <x v="2"/>
    <d v="2024-03-06T00:00:00"/>
    <x v="0"/>
    <n v="10"/>
    <x v="2"/>
    <x v="1"/>
    <s v="-"/>
    <x v="0"/>
    <x v="0"/>
    <n v="15"/>
    <n v="15"/>
  </r>
  <r>
    <n v="3241"/>
    <x v="10"/>
    <x v="1"/>
    <d v="2024-03-07T00:00:00"/>
    <x v="1"/>
    <n v="5"/>
    <x v="0"/>
    <x v="1"/>
    <s v="-"/>
    <x v="1"/>
    <x v="1"/>
    <n v="1"/>
    <n v="4"/>
  </r>
  <r>
    <n v="3242"/>
    <x v="11"/>
    <x v="0"/>
    <d v="2024-03-08T00:00:00"/>
    <x v="0"/>
    <n v="15"/>
    <x v="1"/>
    <x v="0"/>
    <n v="30"/>
    <x v="0"/>
    <x v="0"/>
    <n v="20"/>
    <n v="45"/>
  </r>
  <r>
    <n v="3243"/>
    <x v="12"/>
    <x v="2"/>
    <d v="2024-03-09T00:00:00"/>
    <x v="1"/>
    <n v="10"/>
    <x v="0"/>
    <x v="1"/>
    <s v="-"/>
    <x v="0"/>
    <x v="0"/>
    <n v="10"/>
    <n v="20"/>
  </r>
  <r>
    <n v="3244"/>
    <x v="13"/>
    <x v="1"/>
    <d v="2024-03-10T00:00:00"/>
    <x v="0"/>
    <n v="5"/>
    <x v="2"/>
    <x v="1"/>
    <s v="-"/>
    <x v="1"/>
    <x v="1"/>
    <n v="0"/>
    <n v="5"/>
  </r>
  <r>
    <n v="3245"/>
    <x v="14"/>
    <x v="0"/>
    <d v="2024-03-11T00:00:00"/>
    <x v="1"/>
    <n v="15"/>
    <x v="0"/>
    <x v="0"/>
    <n v="30"/>
    <x v="0"/>
    <x v="0"/>
    <n v="8"/>
    <n v="57"/>
  </r>
  <r>
    <n v="3246"/>
    <x v="15"/>
    <x v="2"/>
    <d v="2024-03-12T00:00:00"/>
    <x v="0"/>
    <n v="10"/>
    <x v="1"/>
    <x v="1"/>
    <s v="-"/>
    <x v="0"/>
    <x v="0"/>
    <n v="12"/>
    <n v="18"/>
  </r>
  <r>
    <n v="3247"/>
    <x v="16"/>
    <x v="1"/>
    <d v="2024-03-13T00:00:00"/>
    <x v="1"/>
    <n v="5"/>
    <x v="0"/>
    <x v="1"/>
    <s v="-"/>
    <x v="1"/>
    <x v="1"/>
    <n v="2"/>
    <n v="3"/>
  </r>
  <r>
    <n v="3248"/>
    <x v="17"/>
    <x v="0"/>
    <d v="2024-03-14T00:00:00"/>
    <x v="0"/>
    <n v="15"/>
    <x v="2"/>
    <x v="0"/>
    <n v="30"/>
    <x v="0"/>
    <x v="0"/>
    <n v="7"/>
    <n v="58"/>
  </r>
  <r>
    <n v="3249"/>
    <x v="18"/>
    <x v="2"/>
    <d v="2024-03-15T00:00:00"/>
    <x v="1"/>
    <n v="10"/>
    <x v="0"/>
    <x v="1"/>
    <s v="-"/>
    <x v="0"/>
    <x v="0"/>
    <n v="5"/>
    <n v="25"/>
  </r>
  <r>
    <n v="3250"/>
    <x v="19"/>
    <x v="1"/>
    <d v="2024-03-16T00:00:00"/>
    <x v="0"/>
    <n v="5"/>
    <x v="1"/>
    <x v="1"/>
    <s v="-"/>
    <x v="1"/>
    <x v="1"/>
    <n v="0"/>
    <n v="5"/>
  </r>
  <r>
    <n v="3251"/>
    <x v="20"/>
    <x v="0"/>
    <d v="2024-03-17T00:00:00"/>
    <x v="1"/>
    <n v="15"/>
    <x v="0"/>
    <x v="0"/>
    <n v="30"/>
    <x v="0"/>
    <x v="0"/>
    <n v="3"/>
    <n v="62"/>
  </r>
  <r>
    <n v="3252"/>
    <x v="21"/>
    <x v="2"/>
    <d v="2024-03-18T00:00:00"/>
    <x v="0"/>
    <n v="10"/>
    <x v="2"/>
    <x v="1"/>
    <s v="-"/>
    <x v="0"/>
    <x v="0"/>
    <n v="15"/>
    <n v="15"/>
  </r>
  <r>
    <n v="3253"/>
    <x v="22"/>
    <x v="1"/>
    <d v="2024-03-19T00:00:00"/>
    <x v="1"/>
    <n v="5"/>
    <x v="0"/>
    <x v="1"/>
    <s v="-"/>
    <x v="1"/>
    <x v="1"/>
    <n v="1"/>
    <n v="4"/>
  </r>
  <r>
    <n v="3254"/>
    <x v="23"/>
    <x v="0"/>
    <d v="2024-03-20T00:00:00"/>
    <x v="0"/>
    <n v="15"/>
    <x v="1"/>
    <x v="0"/>
    <n v="30"/>
    <x v="0"/>
    <x v="0"/>
    <n v="20"/>
    <n v="45"/>
  </r>
  <r>
    <n v="3255"/>
    <x v="24"/>
    <x v="2"/>
    <d v="2024-03-21T00:00:00"/>
    <x v="1"/>
    <n v="10"/>
    <x v="0"/>
    <x v="1"/>
    <s v="-"/>
    <x v="0"/>
    <x v="0"/>
    <n v="10"/>
    <n v="20"/>
  </r>
  <r>
    <n v="3256"/>
    <x v="25"/>
    <x v="1"/>
    <d v="2024-03-22T00:00:00"/>
    <x v="0"/>
    <n v="5"/>
    <x v="2"/>
    <x v="1"/>
    <s v="-"/>
    <x v="1"/>
    <x v="1"/>
    <n v="0"/>
    <n v="5"/>
  </r>
  <r>
    <n v="3257"/>
    <x v="26"/>
    <x v="0"/>
    <d v="2024-03-23T00:00:00"/>
    <x v="1"/>
    <n v="15"/>
    <x v="0"/>
    <x v="0"/>
    <n v="30"/>
    <x v="0"/>
    <x v="0"/>
    <n v="5"/>
    <n v="60"/>
  </r>
  <r>
    <n v="3258"/>
    <x v="27"/>
    <x v="2"/>
    <d v="2024-03-24T00:00:00"/>
    <x v="0"/>
    <n v="10"/>
    <x v="1"/>
    <x v="1"/>
    <s v="-"/>
    <x v="0"/>
    <x v="0"/>
    <n v="15"/>
    <n v="15"/>
  </r>
  <r>
    <n v="3259"/>
    <x v="28"/>
    <x v="1"/>
    <d v="2024-03-25T00:00:00"/>
    <x v="1"/>
    <n v="5"/>
    <x v="0"/>
    <x v="1"/>
    <s v="-"/>
    <x v="1"/>
    <x v="1"/>
    <n v="1"/>
    <n v="4"/>
  </r>
  <r>
    <n v="3260"/>
    <x v="29"/>
    <x v="0"/>
    <d v="2024-03-26T00:00:00"/>
    <x v="0"/>
    <n v="15"/>
    <x v="2"/>
    <x v="0"/>
    <n v="30"/>
    <x v="0"/>
    <x v="0"/>
    <n v="7"/>
    <n v="58"/>
  </r>
  <r>
    <n v="3261"/>
    <x v="30"/>
    <x v="2"/>
    <d v="2024-03-27T00:00:00"/>
    <x v="1"/>
    <n v="10"/>
    <x v="0"/>
    <x v="1"/>
    <s v="-"/>
    <x v="0"/>
    <x v="0"/>
    <n v="10"/>
    <n v="20"/>
  </r>
  <r>
    <n v="3262"/>
    <x v="31"/>
    <x v="1"/>
    <d v="2024-03-28T00:00:00"/>
    <x v="0"/>
    <n v="5"/>
    <x v="1"/>
    <x v="1"/>
    <s v="-"/>
    <x v="1"/>
    <x v="1"/>
    <n v="0"/>
    <n v="5"/>
  </r>
  <r>
    <n v="3263"/>
    <x v="32"/>
    <x v="0"/>
    <d v="2024-03-29T00:00:00"/>
    <x v="1"/>
    <n v="15"/>
    <x v="0"/>
    <x v="0"/>
    <n v="30"/>
    <x v="0"/>
    <x v="0"/>
    <n v="3"/>
    <n v="62"/>
  </r>
  <r>
    <n v="3264"/>
    <x v="33"/>
    <x v="2"/>
    <d v="2024-03-30T00:00:00"/>
    <x v="0"/>
    <n v="10"/>
    <x v="2"/>
    <x v="1"/>
    <s v="-"/>
    <x v="0"/>
    <x v="0"/>
    <n v="15"/>
    <n v="15"/>
  </r>
  <r>
    <n v="3265"/>
    <x v="34"/>
    <x v="1"/>
    <d v="2024-03-31T00:00:00"/>
    <x v="1"/>
    <n v="5"/>
    <x v="0"/>
    <x v="1"/>
    <s v="-"/>
    <x v="1"/>
    <x v="1"/>
    <n v="1"/>
    <n v="4"/>
  </r>
  <r>
    <n v="3266"/>
    <x v="35"/>
    <x v="1"/>
    <d v="2024-04-01T00:00:00"/>
    <x v="0"/>
    <n v="5"/>
    <x v="0"/>
    <x v="1"/>
    <s v="-"/>
    <x v="1"/>
    <x v="1"/>
    <n v="0"/>
    <n v="5"/>
  </r>
  <r>
    <n v="3267"/>
    <x v="36"/>
    <x v="0"/>
    <d v="2024-04-02T00:00:00"/>
    <x v="1"/>
    <n v="15"/>
    <x v="2"/>
    <x v="0"/>
    <n v="30"/>
    <x v="0"/>
    <x v="0"/>
    <n v="7"/>
    <n v="58"/>
  </r>
  <r>
    <n v="3268"/>
    <x v="37"/>
    <x v="2"/>
    <d v="2024-04-03T00:00:00"/>
    <x v="0"/>
    <n v="10"/>
    <x v="1"/>
    <x v="1"/>
    <s v="-"/>
    <x v="0"/>
    <x v="0"/>
    <n v="10"/>
    <n v="20"/>
  </r>
  <r>
    <n v="3269"/>
    <x v="38"/>
    <x v="1"/>
    <d v="2024-04-04T00:00:00"/>
    <x v="1"/>
    <n v="5"/>
    <x v="2"/>
    <x v="1"/>
    <s v="-"/>
    <x v="1"/>
    <x v="1"/>
    <n v="1"/>
    <n v="4"/>
  </r>
  <r>
    <n v="3270"/>
    <x v="39"/>
    <x v="0"/>
    <d v="2024-04-05T00:00:00"/>
    <x v="0"/>
    <n v="15"/>
    <x v="0"/>
    <x v="0"/>
    <n v="30"/>
    <x v="0"/>
    <x v="0"/>
    <n v="15"/>
    <n v="50"/>
  </r>
  <r>
    <n v="3271"/>
    <x v="40"/>
    <x v="2"/>
    <d v="2024-04-06T00:00:00"/>
    <x v="1"/>
    <n v="10"/>
    <x v="0"/>
    <x v="1"/>
    <s v="-"/>
    <x v="0"/>
    <x v="0"/>
    <n v="5"/>
    <n v="25"/>
  </r>
  <r>
    <n v="3272"/>
    <x v="41"/>
    <x v="1"/>
    <d v="2024-04-07T00:00:00"/>
    <x v="0"/>
    <n v="5"/>
    <x v="1"/>
    <x v="1"/>
    <s v="-"/>
    <x v="1"/>
    <x v="1"/>
    <n v="0"/>
    <n v="5"/>
  </r>
  <r>
    <n v="3273"/>
    <x v="42"/>
    <x v="0"/>
    <d v="2024-04-08T00:00:00"/>
    <x v="1"/>
    <n v="15"/>
    <x v="2"/>
    <x v="0"/>
    <n v="30"/>
    <x v="0"/>
    <x v="0"/>
    <n v="20"/>
    <n v="45"/>
  </r>
  <r>
    <n v="3274"/>
    <x v="43"/>
    <x v="2"/>
    <d v="2024-04-09T00:00:00"/>
    <x v="0"/>
    <n v="10"/>
    <x v="2"/>
    <x v="1"/>
    <s v="-"/>
    <x v="0"/>
    <x v="0"/>
    <n v="12"/>
    <n v="18"/>
  </r>
  <r>
    <n v="3275"/>
    <x v="44"/>
    <x v="1"/>
    <d v="2024-04-10T00:00:00"/>
    <x v="1"/>
    <n v="5"/>
    <x v="0"/>
    <x v="1"/>
    <s v="-"/>
    <x v="1"/>
    <x v="1"/>
    <n v="2"/>
    <n v="3"/>
  </r>
  <r>
    <n v="3276"/>
    <x v="45"/>
    <x v="0"/>
    <d v="2024-04-11T00:00:00"/>
    <x v="0"/>
    <n v="15"/>
    <x v="1"/>
    <x v="0"/>
    <n v="30"/>
    <x v="0"/>
    <x v="0"/>
    <n v="5"/>
    <n v="60"/>
  </r>
  <r>
    <n v="3277"/>
    <x v="46"/>
    <x v="2"/>
    <d v="2024-04-12T00:00:00"/>
    <x v="1"/>
    <n v="10"/>
    <x v="0"/>
    <x v="1"/>
    <s v="-"/>
    <x v="0"/>
    <x v="0"/>
    <n v="10"/>
    <n v="20"/>
  </r>
  <r>
    <n v="3278"/>
    <x v="47"/>
    <x v="1"/>
    <d v="2024-04-13T00:00:00"/>
    <x v="0"/>
    <n v="5"/>
    <x v="2"/>
    <x v="1"/>
    <s v="-"/>
    <x v="1"/>
    <x v="1"/>
    <n v="0"/>
    <n v="5"/>
  </r>
  <r>
    <n v="3279"/>
    <x v="48"/>
    <x v="0"/>
    <d v="2024-04-14T00:00:00"/>
    <x v="1"/>
    <n v="15"/>
    <x v="0"/>
    <x v="0"/>
    <n v="30"/>
    <x v="0"/>
    <x v="0"/>
    <n v="3"/>
    <n v="62"/>
  </r>
  <r>
    <n v="3280"/>
    <x v="49"/>
    <x v="2"/>
    <d v="2024-04-15T00:00:00"/>
    <x v="0"/>
    <n v="10"/>
    <x v="1"/>
    <x v="1"/>
    <s v="-"/>
    <x v="0"/>
    <x v="0"/>
    <n v="15"/>
    <n v="15"/>
  </r>
  <r>
    <n v="3281"/>
    <x v="50"/>
    <x v="1"/>
    <d v="2024-04-16T00:00:00"/>
    <x v="1"/>
    <n v="5"/>
    <x v="0"/>
    <x v="1"/>
    <s v="-"/>
    <x v="1"/>
    <x v="1"/>
    <n v="1"/>
    <n v="4"/>
  </r>
  <r>
    <n v="3282"/>
    <x v="51"/>
    <x v="0"/>
    <d v="2024-04-17T00:00:00"/>
    <x v="0"/>
    <n v="15"/>
    <x v="2"/>
    <x v="0"/>
    <n v="30"/>
    <x v="0"/>
    <x v="0"/>
    <n v="7"/>
    <n v="58"/>
  </r>
  <r>
    <n v="3283"/>
    <x v="52"/>
    <x v="2"/>
    <d v="2024-04-18T00:00:00"/>
    <x v="1"/>
    <n v="10"/>
    <x v="0"/>
    <x v="1"/>
    <s v="-"/>
    <x v="0"/>
    <x v="0"/>
    <n v="10"/>
    <n v="20"/>
  </r>
  <r>
    <n v="3284"/>
    <x v="53"/>
    <x v="1"/>
    <d v="2024-04-19T00:00:00"/>
    <x v="0"/>
    <n v="5"/>
    <x v="1"/>
    <x v="1"/>
    <s v="-"/>
    <x v="1"/>
    <x v="1"/>
    <n v="0"/>
    <n v="5"/>
  </r>
  <r>
    <n v="3285"/>
    <x v="54"/>
    <x v="0"/>
    <d v="2024-04-20T00:00:00"/>
    <x v="1"/>
    <n v="15"/>
    <x v="0"/>
    <x v="0"/>
    <n v="30"/>
    <x v="0"/>
    <x v="0"/>
    <n v="20"/>
    <n v="45"/>
  </r>
  <r>
    <n v="3286"/>
    <x v="55"/>
    <x v="2"/>
    <d v="2024-04-21T00:00:00"/>
    <x v="0"/>
    <n v="10"/>
    <x v="2"/>
    <x v="1"/>
    <s v="-"/>
    <x v="0"/>
    <x v="0"/>
    <n v="15"/>
    <n v="15"/>
  </r>
  <r>
    <n v="3287"/>
    <x v="56"/>
    <x v="1"/>
    <d v="2024-04-22T00:00:00"/>
    <x v="1"/>
    <n v="5"/>
    <x v="0"/>
    <x v="1"/>
    <s v="-"/>
    <x v="1"/>
    <x v="1"/>
    <n v="1"/>
    <n v="4"/>
  </r>
  <r>
    <n v="3288"/>
    <x v="57"/>
    <x v="0"/>
    <d v="2024-04-23T00:00:00"/>
    <x v="0"/>
    <n v="15"/>
    <x v="1"/>
    <x v="0"/>
    <n v="30"/>
    <x v="0"/>
    <x v="0"/>
    <n v="3"/>
    <n v="62"/>
  </r>
  <r>
    <n v="3289"/>
    <x v="58"/>
    <x v="2"/>
    <d v="2024-04-24T00:00:00"/>
    <x v="1"/>
    <n v="10"/>
    <x v="0"/>
    <x v="1"/>
    <s v="-"/>
    <x v="0"/>
    <x v="0"/>
    <n v="10"/>
    <n v="20"/>
  </r>
  <r>
    <n v="3290"/>
    <x v="59"/>
    <x v="1"/>
    <d v="2024-04-25T00:00:00"/>
    <x v="0"/>
    <n v="5"/>
    <x v="2"/>
    <x v="1"/>
    <s v="-"/>
    <x v="1"/>
    <x v="1"/>
    <n v="0"/>
    <n v="5"/>
  </r>
  <r>
    <n v="3291"/>
    <x v="60"/>
    <x v="0"/>
    <d v="2024-04-26T00:00:00"/>
    <x v="1"/>
    <n v="15"/>
    <x v="0"/>
    <x v="0"/>
    <n v="30"/>
    <x v="0"/>
    <x v="0"/>
    <n v="5"/>
    <n v="60"/>
  </r>
  <r>
    <n v="3292"/>
    <x v="61"/>
    <x v="2"/>
    <d v="2024-04-27T00:00:00"/>
    <x v="0"/>
    <n v="10"/>
    <x v="1"/>
    <x v="1"/>
    <s v="-"/>
    <x v="0"/>
    <x v="0"/>
    <n v="15"/>
    <n v="15"/>
  </r>
  <r>
    <n v="3293"/>
    <x v="62"/>
    <x v="1"/>
    <d v="2024-04-28T00:00:00"/>
    <x v="1"/>
    <n v="5"/>
    <x v="0"/>
    <x v="1"/>
    <s v="-"/>
    <x v="1"/>
    <x v="1"/>
    <n v="1"/>
    <n v="4"/>
  </r>
  <r>
    <n v="3294"/>
    <x v="63"/>
    <x v="0"/>
    <d v="2024-04-29T00:00:00"/>
    <x v="0"/>
    <n v="15"/>
    <x v="2"/>
    <x v="0"/>
    <n v="30"/>
    <x v="0"/>
    <x v="0"/>
    <n v="20"/>
    <n v="45"/>
  </r>
  <r>
    <n v="3295"/>
    <x v="64"/>
    <x v="2"/>
    <d v="2024-04-30T00:00:00"/>
    <x v="1"/>
    <n v="10"/>
    <x v="0"/>
    <x v="1"/>
    <s v="-"/>
    <x v="0"/>
    <x v="0"/>
    <n v="5"/>
    <n v="25"/>
  </r>
  <r>
    <n v="3296"/>
    <x v="65"/>
    <x v="1"/>
    <d v="2024-05-01T00:00:00"/>
    <x v="1"/>
    <n v="5"/>
    <x v="0"/>
    <x v="1"/>
    <s v="-"/>
    <x v="1"/>
    <x v="1"/>
    <n v="0"/>
    <n v="5"/>
  </r>
  <r>
    <n v="3297"/>
    <x v="66"/>
    <x v="0"/>
    <d v="2024-05-02T00:00:00"/>
    <x v="0"/>
    <n v="15"/>
    <x v="2"/>
    <x v="0"/>
    <n v="30"/>
    <x v="0"/>
    <x v="0"/>
    <n v="7"/>
    <n v="58"/>
  </r>
  <r>
    <n v="3298"/>
    <x v="67"/>
    <x v="2"/>
    <d v="2024-05-03T00:00:00"/>
    <x v="1"/>
    <n v="10"/>
    <x v="1"/>
    <x v="1"/>
    <s v="-"/>
    <x v="0"/>
    <x v="0"/>
    <n v="10"/>
    <n v="20"/>
  </r>
  <r>
    <n v="3299"/>
    <x v="68"/>
    <x v="1"/>
    <d v="2024-05-04T00:00:00"/>
    <x v="0"/>
    <n v="5"/>
    <x v="2"/>
    <x v="1"/>
    <s v="-"/>
    <x v="1"/>
    <x v="1"/>
    <n v="1"/>
    <n v="4"/>
  </r>
  <r>
    <n v="3300"/>
    <x v="69"/>
    <x v="0"/>
    <d v="2024-05-05T00:00:00"/>
    <x v="1"/>
    <n v="15"/>
    <x v="0"/>
    <x v="0"/>
    <n v="30"/>
    <x v="0"/>
    <x v="0"/>
    <n v="15"/>
    <n v="50"/>
  </r>
  <r>
    <n v="3301"/>
    <x v="70"/>
    <x v="2"/>
    <d v="2024-05-06T00:00:00"/>
    <x v="0"/>
    <n v="10"/>
    <x v="0"/>
    <x v="1"/>
    <s v="-"/>
    <x v="0"/>
    <x v="0"/>
    <n v="5"/>
    <n v="25"/>
  </r>
  <r>
    <n v="3302"/>
    <x v="71"/>
    <x v="1"/>
    <d v="2024-05-07T00:00:00"/>
    <x v="1"/>
    <n v="5"/>
    <x v="1"/>
    <x v="1"/>
    <s v="-"/>
    <x v="1"/>
    <x v="1"/>
    <n v="0"/>
    <n v="5"/>
  </r>
  <r>
    <n v="3303"/>
    <x v="72"/>
    <x v="0"/>
    <d v="2024-05-08T00:00:00"/>
    <x v="0"/>
    <n v="15"/>
    <x v="2"/>
    <x v="0"/>
    <n v="30"/>
    <x v="0"/>
    <x v="0"/>
    <n v="20"/>
    <n v="45"/>
  </r>
  <r>
    <n v="3304"/>
    <x v="73"/>
    <x v="2"/>
    <d v="2024-05-09T00:00:00"/>
    <x v="1"/>
    <n v="10"/>
    <x v="2"/>
    <x v="1"/>
    <s v="-"/>
    <x v="0"/>
    <x v="0"/>
    <n v="12"/>
    <n v="18"/>
  </r>
  <r>
    <n v="3305"/>
    <x v="74"/>
    <x v="1"/>
    <d v="2024-05-10T00:00:00"/>
    <x v="0"/>
    <n v="5"/>
    <x v="0"/>
    <x v="1"/>
    <s v="-"/>
    <x v="1"/>
    <x v="1"/>
    <n v="2"/>
    <n v="3"/>
  </r>
  <r>
    <n v="3306"/>
    <x v="75"/>
    <x v="0"/>
    <d v="2024-05-11T00:00:00"/>
    <x v="1"/>
    <n v="15"/>
    <x v="1"/>
    <x v="0"/>
    <n v="30"/>
    <x v="0"/>
    <x v="0"/>
    <n v="5"/>
    <n v="60"/>
  </r>
  <r>
    <n v="3307"/>
    <x v="76"/>
    <x v="2"/>
    <d v="2024-05-12T00:00:00"/>
    <x v="0"/>
    <n v="10"/>
    <x v="0"/>
    <x v="1"/>
    <s v="-"/>
    <x v="0"/>
    <x v="0"/>
    <n v="10"/>
    <n v="20"/>
  </r>
  <r>
    <n v="3308"/>
    <x v="77"/>
    <x v="1"/>
    <d v="2024-05-13T00:00:00"/>
    <x v="1"/>
    <n v="5"/>
    <x v="2"/>
    <x v="1"/>
    <s v="-"/>
    <x v="1"/>
    <x v="1"/>
    <n v="0"/>
    <n v="5"/>
  </r>
  <r>
    <n v="3309"/>
    <x v="78"/>
    <x v="0"/>
    <d v="2024-05-14T00:00:00"/>
    <x v="0"/>
    <n v="15"/>
    <x v="0"/>
    <x v="0"/>
    <n v="30"/>
    <x v="0"/>
    <x v="0"/>
    <n v="3"/>
    <n v="62"/>
  </r>
  <r>
    <n v="3310"/>
    <x v="79"/>
    <x v="2"/>
    <d v="2024-05-15T00:00:00"/>
    <x v="1"/>
    <n v="10"/>
    <x v="1"/>
    <x v="1"/>
    <s v="-"/>
    <x v="0"/>
    <x v="0"/>
    <n v="15"/>
    <n v="15"/>
  </r>
  <r>
    <n v="3311"/>
    <x v="80"/>
    <x v="1"/>
    <d v="2024-05-16T00:00:00"/>
    <x v="0"/>
    <n v="5"/>
    <x v="0"/>
    <x v="1"/>
    <s v="-"/>
    <x v="1"/>
    <x v="1"/>
    <n v="1"/>
    <n v="4"/>
  </r>
  <r>
    <n v="3312"/>
    <x v="81"/>
    <x v="0"/>
    <d v="2024-05-17T00:00:00"/>
    <x v="1"/>
    <n v="15"/>
    <x v="2"/>
    <x v="0"/>
    <n v="30"/>
    <x v="0"/>
    <x v="0"/>
    <n v="7"/>
    <n v="58"/>
  </r>
  <r>
    <n v="3313"/>
    <x v="82"/>
    <x v="2"/>
    <d v="2024-05-18T00:00:00"/>
    <x v="0"/>
    <n v="10"/>
    <x v="0"/>
    <x v="1"/>
    <s v="-"/>
    <x v="0"/>
    <x v="0"/>
    <n v="10"/>
    <n v="20"/>
  </r>
  <r>
    <n v="3314"/>
    <x v="83"/>
    <x v="1"/>
    <d v="2024-05-19T00:00:00"/>
    <x v="1"/>
    <n v="5"/>
    <x v="1"/>
    <x v="1"/>
    <s v="-"/>
    <x v="1"/>
    <x v="1"/>
    <n v="0"/>
    <n v="5"/>
  </r>
  <r>
    <n v="3315"/>
    <x v="84"/>
    <x v="0"/>
    <d v="2024-05-20T00:00:00"/>
    <x v="0"/>
    <n v="15"/>
    <x v="0"/>
    <x v="0"/>
    <n v="30"/>
    <x v="0"/>
    <x v="0"/>
    <n v="20"/>
    <n v="45"/>
  </r>
  <r>
    <n v="3316"/>
    <x v="85"/>
    <x v="2"/>
    <d v="2024-05-21T00:00:00"/>
    <x v="1"/>
    <n v="10"/>
    <x v="2"/>
    <x v="1"/>
    <s v="-"/>
    <x v="0"/>
    <x v="0"/>
    <n v="15"/>
    <n v="15"/>
  </r>
  <r>
    <n v="3317"/>
    <x v="86"/>
    <x v="1"/>
    <d v="2024-05-22T00:00:00"/>
    <x v="0"/>
    <n v="5"/>
    <x v="0"/>
    <x v="1"/>
    <s v="-"/>
    <x v="1"/>
    <x v="1"/>
    <n v="1"/>
    <n v="4"/>
  </r>
  <r>
    <n v="3318"/>
    <x v="87"/>
    <x v="0"/>
    <d v="2024-05-23T00:00:00"/>
    <x v="1"/>
    <n v="15"/>
    <x v="1"/>
    <x v="0"/>
    <n v="30"/>
    <x v="0"/>
    <x v="0"/>
    <n v="3"/>
    <n v="62"/>
  </r>
  <r>
    <n v="3319"/>
    <x v="88"/>
    <x v="2"/>
    <d v="2024-05-24T00:00:00"/>
    <x v="0"/>
    <n v="10"/>
    <x v="0"/>
    <x v="1"/>
    <s v="-"/>
    <x v="0"/>
    <x v="0"/>
    <n v="10"/>
    <n v="20"/>
  </r>
  <r>
    <n v="3320"/>
    <x v="89"/>
    <x v="1"/>
    <d v="2024-05-25T00:00:00"/>
    <x v="1"/>
    <n v="5"/>
    <x v="2"/>
    <x v="1"/>
    <s v="-"/>
    <x v="1"/>
    <x v="1"/>
    <n v="0"/>
    <n v="5"/>
  </r>
  <r>
    <n v="3321"/>
    <x v="90"/>
    <x v="0"/>
    <d v="2024-05-26T00:00:00"/>
    <x v="0"/>
    <n v="15"/>
    <x v="0"/>
    <x v="0"/>
    <n v="30"/>
    <x v="0"/>
    <x v="0"/>
    <n v="5"/>
    <n v="60"/>
  </r>
  <r>
    <n v="3322"/>
    <x v="91"/>
    <x v="2"/>
    <d v="2024-05-27T00:00:00"/>
    <x v="1"/>
    <n v="10"/>
    <x v="1"/>
    <x v="1"/>
    <s v="-"/>
    <x v="0"/>
    <x v="0"/>
    <n v="15"/>
    <n v="15"/>
  </r>
  <r>
    <n v="3323"/>
    <x v="92"/>
    <x v="1"/>
    <d v="2024-05-28T00:00:00"/>
    <x v="0"/>
    <n v="5"/>
    <x v="0"/>
    <x v="1"/>
    <s v="-"/>
    <x v="1"/>
    <x v="1"/>
    <n v="1"/>
    <n v="4"/>
  </r>
  <r>
    <n v="3324"/>
    <x v="93"/>
    <x v="0"/>
    <d v="2024-05-29T00:00:00"/>
    <x v="1"/>
    <n v="15"/>
    <x v="2"/>
    <x v="0"/>
    <n v="30"/>
    <x v="0"/>
    <x v="0"/>
    <n v="20"/>
    <n v="45"/>
  </r>
  <r>
    <n v="3325"/>
    <x v="94"/>
    <x v="2"/>
    <d v="2024-05-30T00:00:00"/>
    <x v="0"/>
    <n v="10"/>
    <x v="2"/>
    <x v="1"/>
    <s v="-"/>
    <x v="0"/>
    <x v="0"/>
    <n v="15"/>
    <n v="15"/>
  </r>
  <r>
    <n v="3326"/>
    <x v="95"/>
    <x v="1"/>
    <d v="2024-05-31T00:00:00"/>
    <x v="1"/>
    <n v="5"/>
    <x v="1"/>
    <x v="1"/>
    <s v="-"/>
    <x v="1"/>
    <x v="1"/>
    <n v="0"/>
    <n v="5"/>
  </r>
  <r>
    <n v="3327"/>
    <x v="96"/>
    <x v="0"/>
    <d v="2024-06-01T00:00:00"/>
    <x v="0"/>
    <n v="15"/>
    <x v="0"/>
    <x v="0"/>
    <n v="30"/>
    <x v="0"/>
    <x v="0"/>
    <n v="7"/>
    <n v="58"/>
  </r>
  <r>
    <n v="3328"/>
    <x v="97"/>
    <x v="2"/>
    <d v="2024-06-02T00:00:00"/>
    <x v="1"/>
    <n v="10"/>
    <x v="1"/>
    <x v="1"/>
    <s v="-"/>
    <x v="0"/>
    <x v="0"/>
    <n v="10"/>
    <n v="20"/>
  </r>
  <r>
    <n v="3329"/>
    <x v="98"/>
    <x v="1"/>
    <d v="2024-06-03T00:00:00"/>
    <x v="0"/>
    <n v="5"/>
    <x v="2"/>
    <x v="1"/>
    <s v="-"/>
    <x v="1"/>
    <x v="1"/>
    <n v="1"/>
    <n v="4"/>
  </r>
  <r>
    <n v="3330"/>
    <x v="99"/>
    <x v="0"/>
    <d v="2024-06-04T00:00:00"/>
    <x v="1"/>
    <n v="15"/>
    <x v="0"/>
    <x v="0"/>
    <n v="30"/>
    <x v="0"/>
    <x v="0"/>
    <n v="15"/>
    <n v="50"/>
  </r>
  <r>
    <n v="3331"/>
    <x v="100"/>
    <x v="2"/>
    <d v="2024-06-05T00:00:00"/>
    <x v="0"/>
    <n v="10"/>
    <x v="0"/>
    <x v="1"/>
    <s v="-"/>
    <x v="0"/>
    <x v="0"/>
    <n v="5"/>
    <n v="25"/>
  </r>
  <r>
    <n v="3332"/>
    <x v="101"/>
    <x v="1"/>
    <d v="2024-06-06T00:00:00"/>
    <x v="1"/>
    <n v="5"/>
    <x v="1"/>
    <x v="1"/>
    <s v="-"/>
    <x v="1"/>
    <x v="1"/>
    <n v="0"/>
    <n v="5"/>
  </r>
  <r>
    <n v="3333"/>
    <x v="102"/>
    <x v="0"/>
    <d v="2024-06-07T00:00:00"/>
    <x v="0"/>
    <n v="15"/>
    <x v="2"/>
    <x v="0"/>
    <n v="30"/>
    <x v="0"/>
    <x v="0"/>
    <n v="20"/>
    <n v="45"/>
  </r>
  <r>
    <n v="3334"/>
    <x v="103"/>
    <x v="2"/>
    <d v="2024-06-08T00:00:00"/>
    <x v="1"/>
    <n v="10"/>
    <x v="2"/>
    <x v="1"/>
    <s v="-"/>
    <x v="0"/>
    <x v="0"/>
    <n v="12"/>
    <n v="18"/>
  </r>
  <r>
    <n v="3335"/>
    <x v="104"/>
    <x v="1"/>
    <d v="2024-06-09T00:00:00"/>
    <x v="0"/>
    <n v="5"/>
    <x v="0"/>
    <x v="1"/>
    <s v="-"/>
    <x v="1"/>
    <x v="1"/>
    <n v="2"/>
    <n v="3"/>
  </r>
  <r>
    <n v="3336"/>
    <x v="105"/>
    <x v="1"/>
    <d v="2024-06-10T00:00:00"/>
    <x v="0"/>
    <n v="5"/>
    <x v="0"/>
    <x v="1"/>
    <s v="-"/>
    <x v="1"/>
    <x v="1"/>
    <n v="0"/>
    <n v="5"/>
  </r>
  <r>
    <n v="3337"/>
    <x v="106"/>
    <x v="0"/>
    <d v="2024-06-11T00:00:00"/>
    <x v="1"/>
    <n v="15"/>
    <x v="2"/>
    <x v="0"/>
    <n v="30"/>
    <x v="0"/>
    <x v="0"/>
    <n v="7"/>
    <n v="58"/>
  </r>
  <r>
    <n v="3338"/>
    <x v="107"/>
    <x v="2"/>
    <d v="2024-06-12T00:00:00"/>
    <x v="0"/>
    <n v="10"/>
    <x v="1"/>
    <x v="1"/>
    <s v="-"/>
    <x v="0"/>
    <x v="0"/>
    <n v="10"/>
    <n v="20"/>
  </r>
  <r>
    <n v="3339"/>
    <x v="108"/>
    <x v="1"/>
    <d v="2024-06-13T00:00:00"/>
    <x v="1"/>
    <n v="5"/>
    <x v="2"/>
    <x v="1"/>
    <s v="-"/>
    <x v="1"/>
    <x v="1"/>
    <n v="1"/>
    <n v="4"/>
  </r>
  <r>
    <n v="3340"/>
    <x v="109"/>
    <x v="0"/>
    <d v="2024-06-14T00:00:00"/>
    <x v="0"/>
    <n v="15"/>
    <x v="0"/>
    <x v="0"/>
    <n v="30"/>
    <x v="0"/>
    <x v="0"/>
    <n v="15"/>
    <n v="50"/>
  </r>
  <r>
    <n v="3341"/>
    <x v="110"/>
    <x v="2"/>
    <d v="2024-06-15T00:00:00"/>
    <x v="1"/>
    <n v="10"/>
    <x v="0"/>
    <x v="1"/>
    <s v="-"/>
    <x v="0"/>
    <x v="0"/>
    <n v="5"/>
    <n v="25"/>
  </r>
  <r>
    <n v="3342"/>
    <x v="111"/>
    <x v="1"/>
    <d v="2024-06-16T00:00:00"/>
    <x v="0"/>
    <n v="5"/>
    <x v="1"/>
    <x v="1"/>
    <s v="-"/>
    <x v="1"/>
    <x v="1"/>
    <n v="0"/>
    <n v="5"/>
  </r>
  <r>
    <n v="3343"/>
    <x v="112"/>
    <x v="0"/>
    <d v="2024-06-17T00:00:00"/>
    <x v="1"/>
    <n v="15"/>
    <x v="2"/>
    <x v="0"/>
    <n v="30"/>
    <x v="0"/>
    <x v="0"/>
    <n v="20"/>
    <n v="45"/>
  </r>
  <r>
    <n v="3344"/>
    <x v="113"/>
    <x v="2"/>
    <d v="2024-06-18T00:00:00"/>
    <x v="0"/>
    <n v="10"/>
    <x v="2"/>
    <x v="1"/>
    <s v="-"/>
    <x v="0"/>
    <x v="0"/>
    <n v="12"/>
    <n v="18"/>
  </r>
  <r>
    <n v="3345"/>
    <x v="114"/>
    <x v="1"/>
    <d v="2024-06-19T00:00:00"/>
    <x v="1"/>
    <n v="5"/>
    <x v="0"/>
    <x v="1"/>
    <s v="-"/>
    <x v="1"/>
    <x v="1"/>
    <n v="2"/>
    <n v="3"/>
  </r>
  <r>
    <n v="3346"/>
    <x v="115"/>
    <x v="0"/>
    <d v="2024-06-20T00:00:00"/>
    <x v="0"/>
    <n v="15"/>
    <x v="1"/>
    <x v="0"/>
    <n v="30"/>
    <x v="0"/>
    <x v="0"/>
    <n v="5"/>
    <n v="60"/>
  </r>
  <r>
    <n v="3347"/>
    <x v="116"/>
    <x v="2"/>
    <d v="2024-06-21T00:00:00"/>
    <x v="1"/>
    <n v="10"/>
    <x v="0"/>
    <x v="1"/>
    <s v="-"/>
    <x v="0"/>
    <x v="0"/>
    <n v="10"/>
    <n v="20"/>
  </r>
  <r>
    <n v="3348"/>
    <x v="117"/>
    <x v="1"/>
    <d v="2024-06-22T00:00:00"/>
    <x v="0"/>
    <n v="5"/>
    <x v="2"/>
    <x v="1"/>
    <s v="-"/>
    <x v="1"/>
    <x v="1"/>
    <n v="0"/>
    <n v="5"/>
  </r>
  <r>
    <n v="3349"/>
    <x v="93"/>
    <x v="0"/>
    <d v="2024-06-23T00:00:00"/>
    <x v="1"/>
    <n v="15"/>
    <x v="0"/>
    <x v="0"/>
    <n v="30"/>
    <x v="0"/>
    <x v="0"/>
    <n v="3"/>
    <n v="62"/>
  </r>
  <r>
    <n v="3350"/>
    <x v="118"/>
    <x v="2"/>
    <d v="2024-06-24T00:00:00"/>
    <x v="0"/>
    <n v="10"/>
    <x v="1"/>
    <x v="1"/>
    <s v="-"/>
    <x v="0"/>
    <x v="0"/>
    <n v="15"/>
    <n v="15"/>
  </r>
  <r>
    <n v="3351"/>
    <x v="119"/>
    <x v="1"/>
    <d v="2024-06-25T00:00:00"/>
    <x v="1"/>
    <n v="5"/>
    <x v="0"/>
    <x v="1"/>
    <s v="-"/>
    <x v="1"/>
    <x v="1"/>
    <n v="1"/>
    <n v="4"/>
  </r>
  <r>
    <n v="3352"/>
    <x v="120"/>
    <x v="0"/>
    <d v="2024-06-26T00:00:00"/>
    <x v="0"/>
    <n v="15"/>
    <x v="2"/>
    <x v="0"/>
    <n v="30"/>
    <x v="0"/>
    <x v="0"/>
    <n v="7"/>
    <n v="58"/>
  </r>
  <r>
    <n v="3353"/>
    <x v="121"/>
    <x v="2"/>
    <d v="2024-06-27T00:00:00"/>
    <x v="1"/>
    <n v="10"/>
    <x v="0"/>
    <x v="1"/>
    <s v="-"/>
    <x v="0"/>
    <x v="0"/>
    <n v="10"/>
    <n v="20"/>
  </r>
  <r>
    <n v="3354"/>
    <x v="122"/>
    <x v="1"/>
    <d v="2024-06-28T00:00:00"/>
    <x v="0"/>
    <n v="5"/>
    <x v="1"/>
    <x v="1"/>
    <s v="-"/>
    <x v="1"/>
    <x v="1"/>
    <n v="0"/>
    <n v="5"/>
  </r>
  <r>
    <n v="3355"/>
    <x v="123"/>
    <x v="0"/>
    <d v="2024-06-29T00:00:00"/>
    <x v="1"/>
    <n v="15"/>
    <x v="0"/>
    <x v="0"/>
    <n v="30"/>
    <x v="0"/>
    <x v="0"/>
    <n v="20"/>
    <n v="45"/>
  </r>
  <r>
    <n v="3356"/>
    <x v="124"/>
    <x v="2"/>
    <d v="2024-06-30T00:00:00"/>
    <x v="0"/>
    <n v="10"/>
    <x v="2"/>
    <x v="1"/>
    <s v="-"/>
    <x v="0"/>
    <x v="0"/>
    <n v="15"/>
    <n v="15"/>
  </r>
  <r>
    <n v="3357"/>
    <x v="125"/>
    <x v="1"/>
    <d v="2024-07-01T00:00:00"/>
    <x v="1"/>
    <n v="5"/>
    <x v="0"/>
    <x v="1"/>
    <s v="-"/>
    <x v="1"/>
    <x v="1"/>
    <n v="1"/>
    <n v="4"/>
  </r>
  <r>
    <n v="3358"/>
    <x v="126"/>
    <x v="0"/>
    <d v="2024-07-02T00:00:00"/>
    <x v="0"/>
    <n v="15"/>
    <x v="1"/>
    <x v="0"/>
    <n v="30"/>
    <x v="0"/>
    <x v="0"/>
    <n v="3"/>
    <n v="62"/>
  </r>
  <r>
    <n v="3359"/>
    <x v="127"/>
    <x v="2"/>
    <d v="2024-07-03T00:00:00"/>
    <x v="1"/>
    <n v="10"/>
    <x v="0"/>
    <x v="1"/>
    <s v="-"/>
    <x v="0"/>
    <x v="0"/>
    <n v="10"/>
    <n v="20"/>
  </r>
  <r>
    <n v="3360"/>
    <x v="128"/>
    <x v="1"/>
    <d v="2024-07-04T00:00:00"/>
    <x v="0"/>
    <n v="5"/>
    <x v="2"/>
    <x v="1"/>
    <s v="-"/>
    <x v="1"/>
    <x v="1"/>
    <n v="0"/>
    <n v="5"/>
  </r>
  <r>
    <n v="3361"/>
    <x v="129"/>
    <x v="0"/>
    <d v="2024-07-05T00:00:00"/>
    <x v="1"/>
    <n v="15"/>
    <x v="0"/>
    <x v="0"/>
    <n v="30"/>
    <x v="0"/>
    <x v="0"/>
    <n v="15"/>
    <n v="50"/>
  </r>
  <r>
    <n v="3362"/>
    <x v="130"/>
    <x v="2"/>
    <d v="2024-07-06T00:00:00"/>
    <x v="0"/>
    <n v="10"/>
    <x v="1"/>
    <x v="1"/>
    <s v="-"/>
    <x v="0"/>
    <x v="0"/>
    <n v="15"/>
    <n v="15"/>
  </r>
  <r>
    <n v="3363"/>
    <x v="131"/>
    <x v="1"/>
    <d v="2024-07-07T00:00:00"/>
    <x v="1"/>
    <n v="5"/>
    <x v="0"/>
    <x v="1"/>
    <s v="-"/>
    <x v="1"/>
    <x v="1"/>
    <n v="1"/>
    <n v="4"/>
  </r>
  <r>
    <n v="3364"/>
    <x v="132"/>
    <x v="0"/>
    <d v="2024-07-08T00:00:00"/>
    <x v="0"/>
    <n v="15"/>
    <x v="2"/>
    <x v="0"/>
    <n v="30"/>
    <x v="0"/>
    <x v="0"/>
    <n v="7"/>
    <n v="58"/>
  </r>
  <r>
    <n v="3365"/>
    <x v="133"/>
    <x v="2"/>
    <d v="2024-07-09T00:00:00"/>
    <x v="1"/>
    <n v="10"/>
    <x v="0"/>
    <x v="1"/>
    <s v="-"/>
    <x v="0"/>
    <x v="0"/>
    <n v="10"/>
    <n v="20"/>
  </r>
  <r>
    <n v="3366"/>
    <x v="134"/>
    <x v="1"/>
    <d v="2024-07-10T00:00:00"/>
    <x v="0"/>
    <n v="5"/>
    <x v="0"/>
    <x v="1"/>
    <s v="-"/>
    <x v="1"/>
    <x v="1"/>
    <n v="0"/>
    <n v="5"/>
  </r>
  <r>
    <n v="3367"/>
    <x v="135"/>
    <x v="0"/>
    <d v="2024-07-11T00:00:00"/>
    <x v="1"/>
    <n v="15"/>
    <x v="2"/>
    <x v="0"/>
    <n v="30"/>
    <x v="0"/>
    <x v="0"/>
    <n v="7"/>
    <n v="58"/>
  </r>
  <r>
    <n v="3368"/>
    <x v="136"/>
    <x v="2"/>
    <d v="2024-07-12T00:00:00"/>
    <x v="0"/>
    <n v="10"/>
    <x v="1"/>
    <x v="1"/>
    <s v="-"/>
    <x v="0"/>
    <x v="0"/>
    <n v="10"/>
    <n v="20"/>
  </r>
  <r>
    <n v="3369"/>
    <x v="137"/>
    <x v="1"/>
    <d v="2024-07-13T00:00:00"/>
    <x v="1"/>
    <n v="5"/>
    <x v="2"/>
    <x v="1"/>
    <s v="-"/>
    <x v="1"/>
    <x v="1"/>
    <n v="1"/>
    <n v="4"/>
  </r>
  <r>
    <n v="3370"/>
    <x v="138"/>
    <x v="0"/>
    <d v="2024-07-14T00:00:00"/>
    <x v="0"/>
    <n v="15"/>
    <x v="0"/>
    <x v="0"/>
    <n v="30"/>
    <x v="0"/>
    <x v="0"/>
    <n v="15"/>
    <n v="50"/>
  </r>
  <r>
    <n v="3371"/>
    <x v="139"/>
    <x v="2"/>
    <d v="2024-07-15T00:00:00"/>
    <x v="1"/>
    <n v="10"/>
    <x v="0"/>
    <x v="1"/>
    <s v="-"/>
    <x v="0"/>
    <x v="0"/>
    <n v="5"/>
    <n v="25"/>
  </r>
  <r>
    <n v="3372"/>
    <x v="140"/>
    <x v="1"/>
    <d v="2024-07-16T00:00:00"/>
    <x v="0"/>
    <n v="5"/>
    <x v="1"/>
    <x v="1"/>
    <s v="-"/>
    <x v="1"/>
    <x v="1"/>
    <n v="0"/>
    <n v="5"/>
  </r>
  <r>
    <n v="3373"/>
    <x v="141"/>
    <x v="0"/>
    <d v="2024-07-17T00:00:00"/>
    <x v="1"/>
    <n v="15"/>
    <x v="2"/>
    <x v="0"/>
    <n v="30"/>
    <x v="0"/>
    <x v="0"/>
    <n v="20"/>
    <n v="45"/>
  </r>
  <r>
    <n v="3374"/>
    <x v="142"/>
    <x v="2"/>
    <d v="2024-07-18T00:00:00"/>
    <x v="0"/>
    <n v="10"/>
    <x v="2"/>
    <x v="1"/>
    <s v="-"/>
    <x v="0"/>
    <x v="0"/>
    <n v="12"/>
    <n v="18"/>
  </r>
  <r>
    <n v="3375"/>
    <x v="143"/>
    <x v="1"/>
    <d v="2024-07-19T00:00:00"/>
    <x v="1"/>
    <n v="5"/>
    <x v="0"/>
    <x v="1"/>
    <s v="-"/>
    <x v="1"/>
    <x v="1"/>
    <n v="2"/>
    <n v="3"/>
  </r>
  <r>
    <n v="3376"/>
    <x v="144"/>
    <x v="0"/>
    <d v="2024-07-20T00:00:00"/>
    <x v="0"/>
    <n v="15"/>
    <x v="1"/>
    <x v="0"/>
    <n v="30"/>
    <x v="0"/>
    <x v="0"/>
    <n v="5"/>
    <n v="60"/>
  </r>
  <r>
    <n v="3377"/>
    <x v="145"/>
    <x v="2"/>
    <d v="2024-07-21T00:00:00"/>
    <x v="1"/>
    <n v="10"/>
    <x v="0"/>
    <x v="1"/>
    <s v="-"/>
    <x v="0"/>
    <x v="0"/>
    <n v="10"/>
    <n v="20"/>
  </r>
  <r>
    <n v="3378"/>
    <x v="146"/>
    <x v="1"/>
    <d v="2024-07-22T00:00:00"/>
    <x v="0"/>
    <n v="5"/>
    <x v="2"/>
    <x v="1"/>
    <s v="-"/>
    <x v="1"/>
    <x v="1"/>
    <n v="0"/>
    <n v="5"/>
  </r>
  <r>
    <n v="3379"/>
    <x v="147"/>
    <x v="0"/>
    <d v="2024-07-23T00:00:00"/>
    <x v="1"/>
    <n v="15"/>
    <x v="0"/>
    <x v="0"/>
    <n v="30"/>
    <x v="0"/>
    <x v="0"/>
    <n v="3"/>
    <n v="62"/>
  </r>
  <r>
    <n v="3380"/>
    <x v="148"/>
    <x v="2"/>
    <d v="2024-07-24T00:00:00"/>
    <x v="0"/>
    <n v="10"/>
    <x v="1"/>
    <x v="1"/>
    <s v="-"/>
    <x v="0"/>
    <x v="0"/>
    <n v="15"/>
    <n v="15"/>
  </r>
  <r>
    <n v="3381"/>
    <x v="149"/>
    <x v="1"/>
    <d v="2024-07-25T00:00:00"/>
    <x v="1"/>
    <n v="5"/>
    <x v="0"/>
    <x v="1"/>
    <s v="-"/>
    <x v="1"/>
    <x v="1"/>
    <n v="1"/>
    <n v="4"/>
  </r>
  <r>
    <n v="3382"/>
    <x v="150"/>
    <x v="0"/>
    <d v="2024-07-26T00:00:00"/>
    <x v="0"/>
    <n v="15"/>
    <x v="2"/>
    <x v="0"/>
    <n v="30"/>
    <x v="0"/>
    <x v="0"/>
    <n v="7"/>
    <n v="58"/>
  </r>
  <r>
    <n v="3383"/>
    <x v="151"/>
    <x v="2"/>
    <d v="2024-07-27T00:00:00"/>
    <x v="1"/>
    <n v="10"/>
    <x v="0"/>
    <x v="1"/>
    <s v="-"/>
    <x v="0"/>
    <x v="0"/>
    <n v="10"/>
    <n v="20"/>
  </r>
  <r>
    <n v="3384"/>
    <x v="152"/>
    <x v="1"/>
    <d v="2024-07-28T00:00:00"/>
    <x v="0"/>
    <n v="5"/>
    <x v="1"/>
    <x v="1"/>
    <s v="-"/>
    <x v="1"/>
    <x v="1"/>
    <n v="0"/>
    <n v="5"/>
  </r>
  <r>
    <n v="3385"/>
    <x v="153"/>
    <x v="0"/>
    <d v="2024-07-29T00:00:00"/>
    <x v="1"/>
    <n v="15"/>
    <x v="0"/>
    <x v="0"/>
    <n v="30"/>
    <x v="0"/>
    <x v="0"/>
    <n v="20"/>
    <n v="45"/>
  </r>
  <r>
    <n v="3386"/>
    <x v="154"/>
    <x v="2"/>
    <d v="2024-07-30T00:00:00"/>
    <x v="0"/>
    <n v="10"/>
    <x v="2"/>
    <x v="1"/>
    <s v="-"/>
    <x v="0"/>
    <x v="0"/>
    <n v="15"/>
    <n v="15"/>
  </r>
  <r>
    <n v="3387"/>
    <x v="155"/>
    <x v="1"/>
    <d v="2024-07-31T00:00:00"/>
    <x v="1"/>
    <n v="5"/>
    <x v="0"/>
    <x v="1"/>
    <s v="-"/>
    <x v="1"/>
    <x v="1"/>
    <n v="1"/>
    <n v="4"/>
  </r>
  <r>
    <n v="3388"/>
    <x v="156"/>
    <x v="0"/>
    <d v="2024-08-01T00:00:00"/>
    <x v="0"/>
    <n v="15"/>
    <x v="1"/>
    <x v="0"/>
    <n v="30"/>
    <x v="0"/>
    <x v="0"/>
    <n v="3"/>
    <n v="62"/>
  </r>
  <r>
    <n v="3389"/>
    <x v="157"/>
    <x v="2"/>
    <d v="2024-08-02T00:00:00"/>
    <x v="1"/>
    <n v="10"/>
    <x v="0"/>
    <x v="1"/>
    <s v="-"/>
    <x v="0"/>
    <x v="0"/>
    <n v="10"/>
    <n v="20"/>
  </r>
  <r>
    <n v="3390"/>
    <x v="158"/>
    <x v="1"/>
    <d v="2024-08-03T00:00:00"/>
    <x v="0"/>
    <n v="5"/>
    <x v="2"/>
    <x v="1"/>
    <s v="-"/>
    <x v="1"/>
    <x v="1"/>
    <n v="0"/>
    <n v="5"/>
  </r>
  <r>
    <n v="3391"/>
    <x v="58"/>
    <x v="0"/>
    <d v="2024-08-04T00:00:00"/>
    <x v="1"/>
    <n v="15"/>
    <x v="0"/>
    <x v="0"/>
    <n v="30"/>
    <x v="0"/>
    <x v="0"/>
    <n v="15"/>
    <n v="50"/>
  </r>
  <r>
    <n v="3392"/>
    <x v="159"/>
    <x v="2"/>
    <d v="2024-08-05T00:00:00"/>
    <x v="0"/>
    <n v="10"/>
    <x v="1"/>
    <x v="1"/>
    <s v="-"/>
    <x v="0"/>
    <x v="0"/>
    <n v="15"/>
    <n v="15"/>
  </r>
  <r>
    <n v="3393"/>
    <x v="160"/>
    <x v="1"/>
    <d v="2024-08-06T00:00:00"/>
    <x v="1"/>
    <n v="5"/>
    <x v="0"/>
    <x v="1"/>
    <s v="-"/>
    <x v="1"/>
    <x v="1"/>
    <n v="1"/>
    <n v="4"/>
  </r>
  <r>
    <n v="3394"/>
    <x v="161"/>
    <x v="0"/>
    <d v="2024-08-07T00:00:00"/>
    <x v="0"/>
    <n v="15"/>
    <x v="2"/>
    <x v="0"/>
    <n v="30"/>
    <x v="0"/>
    <x v="0"/>
    <n v="7"/>
    <n v="58"/>
  </r>
  <r>
    <n v="3395"/>
    <x v="162"/>
    <x v="2"/>
    <d v="2024-08-08T00:00:00"/>
    <x v="1"/>
    <n v="10"/>
    <x v="0"/>
    <x v="1"/>
    <s v="-"/>
    <x v="0"/>
    <x v="0"/>
    <n v="10"/>
    <n v="20"/>
  </r>
  <r>
    <n v="3396"/>
    <x v="163"/>
    <x v="1"/>
    <d v="2024-08-09T00:00:00"/>
    <x v="0"/>
    <n v="5"/>
    <x v="1"/>
    <x v="1"/>
    <s v="-"/>
    <x v="1"/>
    <x v="1"/>
    <n v="0"/>
    <n v="5"/>
  </r>
  <r>
    <n v="3397"/>
    <x v="90"/>
    <x v="0"/>
    <d v="2024-08-10T00:00:00"/>
    <x v="1"/>
    <n v="15"/>
    <x v="0"/>
    <x v="0"/>
    <n v="30"/>
    <x v="0"/>
    <x v="0"/>
    <n v="20"/>
    <n v="45"/>
  </r>
  <r>
    <n v="3398"/>
    <x v="164"/>
    <x v="2"/>
    <d v="2024-08-11T00:00:00"/>
    <x v="0"/>
    <n v="10"/>
    <x v="2"/>
    <x v="1"/>
    <s v="-"/>
    <x v="0"/>
    <x v="0"/>
    <n v="15"/>
    <n v="15"/>
  </r>
  <r>
    <n v="3399"/>
    <x v="165"/>
    <x v="1"/>
    <d v="2024-08-12T00:00:00"/>
    <x v="1"/>
    <n v="5"/>
    <x v="0"/>
    <x v="1"/>
    <s v="-"/>
    <x v="1"/>
    <x v="1"/>
    <n v="1"/>
    <n v="4"/>
  </r>
  <r>
    <n v="3400"/>
    <x v="166"/>
    <x v="0"/>
    <d v="2024-08-13T00:00:00"/>
    <x v="0"/>
    <n v="15"/>
    <x v="1"/>
    <x v="0"/>
    <n v="30"/>
    <x v="0"/>
    <x v="0"/>
    <n v="5"/>
    <n v="60"/>
  </r>
  <r>
    <n v="3401"/>
    <x v="167"/>
    <x v="2"/>
    <d v="2024-08-14T00:00:00"/>
    <x v="1"/>
    <n v="10"/>
    <x v="0"/>
    <x v="1"/>
    <s v="-"/>
    <x v="0"/>
    <x v="0"/>
    <n v="10"/>
    <n v="20"/>
  </r>
  <r>
    <n v="3402"/>
    <x v="168"/>
    <x v="1"/>
    <d v="2024-08-15T00:00:00"/>
    <x v="0"/>
    <n v="5"/>
    <x v="2"/>
    <x v="1"/>
    <s v="-"/>
    <x v="1"/>
    <x v="1"/>
    <n v="0"/>
    <n v="5"/>
  </r>
  <r>
    <n v="3403"/>
    <x v="169"/>
    <x v="0"/>
    <d v="2024-08-16T00:00:00"/>
    <x v="1"/>
    <n v="15"/>
    <x v="0"/>
    <x v="0"/>
    <n v="30"/>
    <x v="0"/>
    <x v="0"/>
    <n v="3"/>
    <n v="62"/>
  </r>
  <r>
    <n v="3404"/>
    <x v="170"/>
    <x v="2"/>
    <d v="2024-08-17T00:00:00"/>
    <x v="0"/>
    <n v="10"/>
    <x v="1"/>
    <x v="1"/>
    <s v="-"/>
    <x v="0"/>
    <x v="0"/>
    <n v="15"/>
    <n v="15"/>
  </r>
  <r>
    <n v="3405"/>
    <x v="171"/>
    <x v="1"/>
    <d v="2024-08-18T00:00:00"/>
    <x v="1"/>
    <n v="5"/>
    <x v="0"/>
    <x v="1"/>
    <s v="-"/>
    <x v="1"/>
    <x v="1"/>
    <n v="1"/>
    <n v="4"/>
  </r>
  <r>
    <n v="3406"/>
    <x v="172"/>
    <x v="1"/>
    <d v="2024-08-19T00:00:00"/>
    <x v="0"/>
    <n v="5"/>
    <x v="0"/>
    <x v="1"/>
    <s v="-"/>
    <x v="1"/>
    <x v="1"/>
    <n v="0"/>
    <n v="5"/>
  </r>
  <r>
    <n v="3407"/>
    <x v="173"/>
    <x v="0"/>
    <d v="2024-08-20T00:00:00"/>
    <x v="1"/>
    <n v="15"/>
    <x v="2"/>
    <x v="0"/>
    <n v="30"/>
    <x v="0"/>
    <x v="0"/>
    <n v="7"/>
    <n v="58"/>
  </r>
  <r>
    <n v="3408"/>
    <x v="174"/>
    <x v="2"/>
    <d v="2024-08-21T00:00:00"/>
    <x v="0"/>
    <n v="10"/>
    <x v="1"/>
    <x v="1"/>
    <s v="-"/>
    <x v="0"/>
    <x v="0"/>
    <n v="10"/>
    <n v="20"/>
  </r>
  <r>
    <n v="3409"/>
    <x v="175"/>
    <x v="1"/>
    <d v="2024-08-22T00:00:00"/>
    <x v="1"/>
    <n v="5"/>
    <x v="2"/>
    <x v="1"/>
    <s v="-"/>
    <x v="1"/>
    <x v="1"/>
    <n v="1"/>
    <n v="4"/>
  </r>
  <r>
    <n v="3410"/>
    <x v="176"/>
    <x v="0"/>
    <d v="2024-08-23T00:00:00"/>
    <x v="0"/>
    <n v="15"/>
    <x v="0"/>
    <x v="0"/>
    <n v="30"/>
    <x v="0"/>
    <x v="0"/>
    <n v="15"/>
    <n v="50"/>
  </r>
  <r>
    <n v="3411"/>
    <x v="177"/>
    <x v="2"/>
    <d v="2024-08-24T00:00:00"/>
    <x v="1"/>
    <n v="10"/>
    <x v="0"/>
    <x v="1"/>
    <s v="-"/>
    <x v="0"/>
    <x v="0"/>
    <n v="5"/>
    <n v="25"/>
  </r>
  <r>
    <n v="3412"/>
    <x v="178"/>
    <x v="1"/>
    <d v="2024-08-25T00:00:00"/>
    <x v="0"/>
    <n v="5"/>
    <x v="1"/>
    <x v="1"/>
    <s v="-"/>
    <x v="1"/>
    <x v="1"/>
    <n v="0"/>
    <n v="5"/>
  </r>
  <r>
    <n v="3413"/>
    <x v="179"/>
    <x v="0"/>
    <d v="2024-08-26T00:00:00"/>
    <x v="1"/>
    <n v="15"/>
    <x v="2"/>
    <x v="0"/>
    <n v="30"/>
    <x v="0"/>
    <x v="0"/>
    <n v="20"/>
    <n v="45"/>
  </r>
  <r>
    <n v="3414"/>
    <x v="180"/>
    <x v="2"/>
    <d v="2024-08-27T00:00:00"/>
    <x v="0"/>
    <n v="10"/>
    <x v="2"/>
    <x v="1"/>
    <s v="-"/>
    <x v="0"/>
    <x v="0"/>
    <n v="12"/>
    <n v="18"/>
  </r>
  <r>
    <n v="3415"/>
    <x v="181"/>
    <x v="1"/>
    <d v="2024-08-28T00:00:00"/>
    <x v="1"/>
    <n v="5"/>
    <x v="0"/>
    <x v="1"/>
    <s v="-"/>
    <x v="1"/>
    <x v="1"/>
    <n v="2"/>
    <n v="3"/>
  </r>
  <r>
    <n v="3416"/>
    <x v="182"/>
    <x v="0"/>
    <d v="2024-08-29T00:00:00"/>
    <x v="0"/>
    <n v="15"/>
    <x v="1"/>
    <x v="0"/>
    <n v="30"/>
    <x v="0"/>
    <x v="0"/>
    <n v="5"/>
    <n v="60"/>
  </r>
  <r>
    <n v="3417"/>
    <x v="183"/>
    <x v="2"/>
    <d v="2024-08-30T00:00:00"/>
    <x v="1"/>
    <n v="10"/>
    <x v="0"/>
    <x v="1"/>
    <s v="-"/>
    <x v="0"/>
    <x v="0"/>
    <n v="10"/>
    <n v="20"/>
  </r>
  <r>
    <n v="3418"/>
    <x v="184"/>
    <x v="1"/>
    <d v="2024-08-31T00:00:00"/>
    <x v="0"/>
    <n v="5"/>
    <x v="2"/>
    <x v="1"/>
    <s v="-"/>
    <x v="1"/>
    <x v="1"/>
    <n v="0"/>
    <n v="5"/>
  </r>
  <r>
    <n v="3419"/>
    <x v="185"/>
    <x v="0"/>
    <d v="2024-09-01T00:00:00"/>
    <x v="1"/>
    <n v="15"/>
    <x v="0"/>
    <x v="0"/>
    <n v="30"/>
    <x v="0"/>
    <x v="0"/>
    <n v="3"/>
    <n v="62"/>
  </r>
  <r>
    <n v="3420"/>
    <x v="186"/>
    <x v="2"/>
    <d v="2024-09-02T00:00:00"/>
    <x v="0"/>
    <n v="10"/>
    <x v="1"/>
    <x v="1"/>
    <s v="-"/>
    <x v="0"/>
    <x v="0"/>
    <n v="15"/>
    <n v="15"/>
  </r>
  <r>
    <n v="3421"/>
    <x v="15"/>
    <x v="1"/>
    <d v="2024-09-03T00:00:00"/>
    <x v="1"/>
    <n v="5"/>
    <x v="0"/>
    <x v="1"/>
    <s v="-"/>
    <x v="1"/>
    <x v="1"/>
    <n v="1"/>
    <n v="4"/>
  </r>
  <r>
    <n v="3422"/>
    <x v="187"/>
    <x v="0"/>
    <d v="2024-09-04T00:00:00"/>
    <x v="0"/>
    <n v="15"/>
    <x v="2"/>
    <x v="0"/>
    <n v="30"/>
    <x v="0"/>
    <x v="0"/>
    <n v="7"/>
    <n v="58"/>
  </r>
  <r>
    <n v="3423"/>
    <x v="188"/>
    <x v="2"/>
    <d v="2024-09-05T00:00:00"/>
    <x v="1"/>
    <n v="10"/>
    <x v="0"/>
    <x v="1"/>
    <s v="-"/>
    <x v="0"/>
    <x v="0"/>
    <n v="10"/>
    <n v="20"/>
  </r>
  <r>
    <n v="3424"/>
    <x v="14"/>
    <x v="1"/>
    <d v="2024-09-06T00:00:00"/>
    <x v="0"/>
    <n v="5"/>
    <x v="1"/>
    <x v="1"/>
    <s v="-"/>
    <x v="1"/>
    <x v="1"/>
    <n v="0"/>
    <n v="5"/>
  </r>
  <r>
    <n v="3425"/>
    <x v="189"/>
    <x v="0"/>
    <d v="2024-09-07T00:00:00"/>
    <x v="1"/>
    <n v="15"/>
    <x v="0"/>
    <x v="0"/>
    <n v="30"/>
    <x v="0"/>
    <x v="0"/>
    <n v="20"/>
    <n v="45"/>
  </r>
  <r>
    <n v="3426"/>
    <x v="167"/>
    <x v="2"/>
    <d v="2024-09-08T00:00:00"/>
    <x v="0"/>
    <n v="10"/>
    <x v="2"/>
    <x v="1"/>
    <s v="-"/>
    <x v="0"/>
    <x v="0"/>
    <n v="15"/>
    <n v="15"/>
  </r>
  <r>
    <n v="3427"/>
    <x v="190"/>
    <x v="1"/>
    <d v="2024-09-09T00:00:00"/>
    <x v="1"/>
    <n v="5"/>
    <x v="0"/>
    <x v="1"/>
    <s v="-"/>
    <x v="1"/>
    <x v="1"/>
    <n v="1"/>
    <n v="4"/>
  </r>
  <r>
    <n v="3428"/>
    <x v="191"/>
    <x v="0"/>
    <d v="2024-09-10T00:00:00"/>
    <x v="0"/>
    <n v="15"/>
    <x v="1"/>
    <x v="0"/>
    <n v="30"/>
    <x v="0"/>
    <x v="0"/>
    <n v="3"/>
    <n v="62"/>
  </r>
  <r>
    <n v="3429"/>
    <x v="192"/>
    <x v="2"/>
    <d v="2024-09-11T00:00:00"/>
    <x v="1"/>
    <n v="10"/>
    <x v="0"/>
    <x v="1"/>
    <s v="-"/>
    <x v="0"/>
    <x v="0"/>
    <n v="10"/>
    <n v="20"/>
  </r>
  <r>
    <n v="3430"/>
    <x v="193"/>
    <x v="1"/>
    <d v="2024-09-12T00:00:00"/>
    <x v="0"/>
    <n v="5"/>
    <x v="2"/>
    <x v="1"/>
    <s v="-"/>
    <x v="1"/>
    <x v="1"/>
    <n v="0"/>
    <n v="5"/>
  </r>
  <r>
    <n v="3431"/>
    <x v="194"/>
    <x v="0"/>
    <d v="2024-09-13T00:00:00"/>
    <x v="1"/>
    <n v="15"/>
    <x v="0"/>
    <x v="0"/>
    <n v="30"/>
    <x v="0"/>
    <x v="0"/>
    <n v="15"/>
    <n v="50"/>
  </r>
  <r>
    <n v="3432"/>
    <x v="195"/>
    <x v="2"/>
    <d v="2024-09-14T00:00:00"/>
    <x v="0"/>
    <n v="10"/>
    <x v="1"/>
    <x v="1"/>
    <s v="-"/>
    <x v="0"/>
    <x v="0"/>
    <n v="15"/>
    <n v="15"/>
  </r>
  <r>
    <n v="3433"/>
    <x v="196"/>
    <x v="1"/>
    <d v="2024-09-15T00:00:00"/>
    <x v="1"/>
    <n v="5"/>
    <x v="0"/>
    <x v="1"/>
    <s v="-"/>
    <x v="1"/>
    <x v="1"/>
    <n v="1"/>
    <n v="4"/>
  </r>
  <r>
    <n v="3434"/>
    <x v="197"/>
    <x v="0"/>
    <d v="2024-09-16T00:00:00"/>
    <x v="0"/>
    <n v="15"/>
    <x v="2"/>
    <x v="0"/>
    <n v="30"/>
    <x v="0"/>
    <x v="0"/>
    <n v="7"/>
    <n v="58"/>
  </r>
  <r>
    <n v="3435"/>
    <x v="198"/>
    <x v="2"/>
    <d v="2024-09-17T00:00:00"/>
    <x v="1"/>
    <n v="10"/>
    <x v="0"/>
    <x v="1"/>
    <s v="-"/>
    <x v="0"/>
    <x v="0"/>
    <n v="10"/>
    <n v="20"/>
  </r>
  <r>
    <n v="3436"/>
    <x v="199"/>
    <x v="1"/>
    <d v="2024-09-18T00:00:00"/>
    <x v="0"/>
    <n v="5"/>
    <x v="0"/>
    <x v="1"/>
    <s v="-"/>
    <x v="1"/>
    <x v="1"/>
    <n v="0"/>
    <n v="5"/>
  </r>
  <r>
    <n v="3437"/>
    <x v="200"/>
    <x v="0"/>
    <d v="2024-09-19T00:00:00"/>
    <x v="1"/>
    <n v="15"/>
    <x v="2"/>
    <x v="0"/>
    <n v="30"/>
    <x v="0"/>
    <x v="0"/>
    <n v="7"/>
    <n v="58"/>
  </r>
  <r>
    <n v="3438"/>
    <x v="201"/>
    <x v="2"/>
    <d v="2024-09-20T00:00:00"/>
    <x v="0"/>
    <n v="10"/>
    <x v="1"/>
    <x v="1"/>
    <s v="-"/>
    <x v="0"/>
    <x v="0"/>
    <n v="10"/>
    <n v="20"/>
  </r>
  <r>
    <n v="3439"/>
    <x v="202"/>
    <x v="1"/>
    <d v="2024-09-21T00:00:00"/>
    <x v="1"/>
    <n v="5"/>
    <x v="2"/>
    <x v="1"/>
    <s v="-"/>
    <x v="1"/>
    <x v="1"/>
    <n v="1"/>
    <n v="4"/>
  </r>
  <r>
    <n v="3440"/>
    <x v="203"/>
    <x v="0"/>
    <d v="2024-09-22T00:00:00"/>
    <x v="0"/>
    <n v="15"/>
    <x v="0"/>
    <x v="0"/>
    <n v="30"/>
    <x v="0"/>
    <x v="0"/>
    <n v="15"/>
    <n v="50"/>
  </r>
  <r>
    <n v="3441"/>
    <x v="204"/>
    <x v="2"/>
    <d v="2024-09-23T00:00:00"/>
    <x v="1"/>
    <n v="10"/>
    <x v="0"/>
    <x v="1"/>
    <s v="-"/>
    <x v="0"/>
    <x v="0"/>
    <n v="5"/>
    <n v="25"/>
  </r>
  <r>
    <n v="3442"/>
    <x v="205"/>
    <x v="1"/>
    <d v="2024-09-24T00:00:00"/>
    <x v="0"/>
    <n v="5"/>
    <x v="1"/>
    <x v="1"/>
    <s v="-"/>
    <x v="1"/>
    <x v="1"/>
    <n v="0"/>
    <n v="5"/>
  </r>
  <r>
    <n v="3443"/>
    <x v="206"/>
    <x v="0"/>
    <d v="2024-09-25T00:00:00"/>
    <x v="1"/>
    <n v="15"/>
    <x v="2"/>
    <x v="0"/>
    <n v="30"/>
    <x v="0"/>
    <x v="0"/>
    <n v="20"/>
    <n v="45"/>
  </r>
  <r>
    <n v="3444"/>
    <x v="207"/>
    <x v="2"/>
    <d v="2024-09-26T00:00:00"/>
    <x v="0"/>
    <n v="10"/>
    <x v="2"/>
    <x v="1"/>
    <s v="-"/>
    <x v="0"/>
    <x v="0"/>
    <n v="12"/>
    <n v="18"/>
  </r>
  <r>
    <n v="3445"/>
    <x v="37"/>
    <x v="1"/>
    <d v="2024-09-27T00:00:00"/>
    <x v="1"/>
    <n v="5"/>
    <x v="0"/>
    <x v="1"/>
    <s v="-"/>
    <x v="1"/>
    <x v="1"/>
    <n v="2"/>
    <n v="3"/>
  </r>
  <r>
    <n v="3446"/>
    <x v="208"/>
    <x v="0"/>
    <d v="2024-09-28T00:00:00"/>
    <x v="0"/>
    <n v="15"/>
    <x v="1"/>
    <x v="0"/>
    <n v="30"/>
    <x v="0"/>
    <x v="0"/>
    <n v="5"/>
    <n v="60"/>
  </r>
  <r>
    <n v="3447"/>
    <x v="209"/>
    <x v="2"/>
    <d v="2024-09-29T00:00:00"/>
    <x v="1"/>
    <n v="10"/>
    <x v="0"/>
    <x v="1"/>
    <s v="-"/>
    <x v="0"/>
    <x v="0"/>
    <n v="10"/>
    <n v="20"/>
  </r>
  <r>
    <n v="3448"/>
    <x v="210"/>
    <x v="1"/>
    <d v="2024-09-30T00:00:00"/>
    <x v="0"/>
    <n v="5"/>
    <x v="2"/>
    <x v="1"/>
    <s v="-"/>
    <x v="1"/>
    <x v="1"/>
    <n v="0"/>
    <n v="5"/>
  </r>
  <r>
    <n v="3449"/>
    <x v="211"/>
    <x v="0"/>
    <d v="2024-10-01T00:00:00"/>
    <x v="1"/>
    <n v="15"/>
    <x v="0"/>
    <x v="0"/>
    <n v="30"/>
    <x v="0"/>
    <x v="0"/>
    <n v="3"/>
    <n v="62"/>
  </r>
  <r>
    <n v="3450"/>
    <x v="212"/>
    <x v="2"/>
    <d v="2024-10-02T00:00:00"/>
    <x v="0"/>
    <n v="10"/>
    <x v="1"/>
    <x v="1"/>
    <s v="-"/>
    <x v="0"/>
    <x v="0"/>
    <n v="15"/>
    <n v="15"/>
  </r>
  <r>
    <n v="3451"/>
    <x v="213"/>
    <x v="1"/>
    <d v="2024-10-03T00:00:00"/>
    <x v="1"/>
    <n v="5"/>
    <x v="0"/>
    <x v="1"/>
    <s v="-"/>
    <x v="1"/>
    <x v="1"/>
    <n v="1"/>
    <n v="4"/>
  </r>
  <r>
    <n v="3452"/>
    <x v="191"/>
    <x v="0"/>
    <d v="2024-10-04T00:00:00"/>
    <x v="0"/>
    <n v="15"/>
    <x v="2"/>
    <x v="0"/>
    <n v="30"/>
    <x v="0"/>
    <x v="0"/>
    <n v="7"/>
    <n v="58"/>
  </r>
  <r>
    <n v="3453"/>
    <x v="45"/>
    <x v="2"/>
    <d v="2024-10-05T00:00:00"/>
    <x v="1"/>
    <n v="10"/>
    <x v="0"/>
    <x v="1"/>
    <s v="-"/>
    <x v="0"/>
    <x v="0"/>
    <n v="10"/>
    <n v="20"/>
  </r>
  <r>
    <n v="3454"/>
    <x v="214"/>
    <x v="1"/>
    <d v="2024-10-06T00:00:00"/>
    <x v="0"/>
    <n v="5"/>
    <x v="1"/>
    <x v="1"/>
    <s v="-"/>
    <x v="1"/>
    <x v="1"/>
    <n v="0"/>
    <n v="5"/>
  </r>
  <r>
    <n v="3455"/>
    <x v="215"/>
    <x v="0"/>
    <d v="2024-10-07T00:00:00"/>
    <x v="1"/>
    <n v="15"/>
    <x v="0"/>
    <x v="0"/>
    <n v="30"/>
    <x v="0"/>
    <x v="0"/>
    <n v="20"/>
    <n v="45"/>
  </r>
  <r>
    <n v="3456"/>
    <x v="216"/>
    <x v="2"/>
    <d v="2024-10-08T00:00:00"/>
    <x v="0"/>
    <n v="10"/>
    <x v="2"/>
    <x v="1"/>
    <s v="-"/>
    <x v="0"/>
    <x v="0"/>
    <n v="15"/>
    <n v="15"/>
  </r>
  <r>
    <n v="3457"/>
    <x v="217"/>
    <x v="1"/>
    <d v="2024-10-09T00:00:00"/>
    <x v="1"/>
    <n v="5"/>
    <x v="0"/>
    <x v="1"/>
    <s v="-"/>
    <x v="1"/>
    <x v="1"/>
    <n v="1"/>
    <n v="4"/>
  </r>
  <r>
    <n v="3458"/>
    <x v="218"/>
    <x v="0"/>
    <d v="2024-10-10T00:00:00"/>
    <x v="0"/>
    <n v="15"/>
    <x v="1"/>
    <x v="0"/>
    <n v="30"/>
    <x v="0"/>
    <x v="0"/>
    <n v="3"/>
    <n v="62"/>
  </r>
  <r>
    <n v="3459"/>
    <x v="219"/>
    <x v="2"/>
    <d v="2024-10-11T00:00:00"/>
    <x v="1"/>
    <n v="10"/>
    <x v="0"/>
    <x v="1"/>
    <s v="-"/>
    <x v="0"/>
    <x v="0"/>
    <n v="10"/>
    <n v="20"/>
  </r>
  <r>
    <n v="3460"/>
    <x v="127"/>
    <x v="1"/>
    <d v="2024-10-12T00:00:00"/>
    <x v="0"/>
    <n v="5"/>
    <x v="2"/>
    <x v="1"/>
    <s v="-"/>
    <x v="1"/>
    <x v="1"/>
    <n v="0"/>
    <n v="5"/>
  </r>
  <r>
    <n v="3461"/>
    <x v="220"/>
    <x v="0"/>
    <d v="2024-10-13T00:00:00"/>
    <x v="1"/>
    <n v="15"/>
    <x v="0"/>
    <x v="0"/>
    <n v="30"/>
    <x v="0"/>
    <x v="0"/>
    <n v="15"/>
    <n v="50"/>
  </r>
  <r>
    <n v="3462"/>
    <x v="221"/>
    <x v="2"/>
    <d v="2024-10-14T00:00:00"/>
    <x v="0"/>
    <n v="10"/>
    <x v="1"/>
    <x v="1"/>
    <s v="-"/>
    <x v="0"/>
    <x v="0"/>
    <n v="15"/>
    <n v="15"/>
  </r>
  <r>
    <n v="3463"/>
    <x v="222"/>
    <x v="1"/>
    <d v="2024-10-15T00:00:00"/>
    <x v="1"/>
    <n v="5"/>
    <x v="0"/>
    <x v="1"/>
    <s v="-"/>
    <x v="1"/>
    <x v="1"/>
    <n v="1"/>
    <n v="4"/>
  </r>
  <r>
    <n v="3464"/>
    <x v="223"/>
    <x v="0"/>
    <d v="2024-10-16T00:00:00"/>
    <x v="0"/>
    <n v="15"/>
    <x v="2"/>
    <x v="0"/>
    <n v="30"/>
    <x v="0"/>
    <x v="0"/>
    <n v="7"/>
    <n v="58"/>
  </r>
  <r>
    <n v="3465"/>
    <x v="224"/>
    <x v="2"/>
    <d v="2024-10-17T00:00:00"/>
    <x v="1"/>
    <n v="10"/>
    <x v="0"/>
    <x v="1"/>
    <s v="-"/>
    <x v="0"/>
    <x v="0"/>
    <n v="10"/>
    <n v="20"/>
  </r>
  <r>
    <n v="3466"/>
    <x v="225"/>
    <x v="1"/>
    <d v="2024-10-18T00:00:00"/>
    <x v="0"/>
    <n v="5"/>
    <x v="1"/>
    <x v="1"/>
    <s v="-"/>
    <x v="1"/>
    <x v="1"/>
    <n v="0"/>
    <n v="5"/>
  </r>
  <r>
    <n v="3467"/>
    <x v="226"/>
    <x v="0"/>
    <d v="2024-10-19T00:00:00"/>
    <x v="1"/>
    <n v="15"/>
    <x v="0"/>
    <x v="0"/>
    <n v="30"/>
    <x v="0"/>
    <x v="0"/>
    <n v="15"/>
    <n v="50"/>
  </r>
  <r>
    <n v="3468"/>
    <x v="227"/>
    <x v="2"/>
    <d v="2024-10-20T00:00:00"/>
    <x v="0"/>
    <n v="10"/>
    <x v="2"/>
    <x v="1"/>
    <s v="-"/>
    <x v="0"/>
    <x v="0"/>
    <n v="12"/>
    <n v="18"/>
  </r>
  <r>
    <n v="3469"/>
    <x v="228"/>
    <x v="1"/>
    <d v="2024-10-21T00:00:00"/>
    <x v="1"/>
    <n v="5"/>
    <x v="0"/>
    <x v="1"/>
    <s v="-"/>
    <x v="1"/>
    <x v="1"/>
    <n v="2"/>
    <n v="3"/>
  </r>
  <r>
    <n v="3470"/>
    <x v="229"/>
    <x v="0"/>
    <d v="2024-10-22T00:00:00"/>
    <x v="0"/>
    <n v="15"/>
    <x v="1"/>
    <x v="0"/>
    <n v="30"/>
    <x v="0"/>
    <x v="0"/>
    <n v="5"/>
    <n v="60"/>
  </r>
  <r>
    <n v="3471"/>
    <x v="230"/>
    <x v="2"/>
    <d v="2024-10-23T00:00:00"/>
    <x v="1"/>
    <n v="10"/>
    <x v="0"/>
    <x v="1"/>
    <s v="-"/>
    <x v="0"/>
    <x v="0"/>
    <n v="10"/>
    <n v="20"/>
  </r>
  <r>
    <n v="3472"/>
    <x v="231"/>
    <x v="1"/>
    <d v="2024-10-24T00:00:00"/>
    <x v="0"/>
    <n v="5"/>
    <x v="2"/>
    <x v="1"/>
    <s v="-"/>
    <x v="1"/>
    <x v="1"/>
    <n v="0"/>
    <n v="5"/>
  </r>
  <r>
    <n v="3473"/>
    <x v="140"/>
    <x v="0"/>
    <d v="2024-10-25T00:00:00"/>
    <x v="1"/>
    <n v="15"/>
    <x v="0"/>
    <x v="0"/>
    <n v="30"/>
    <x v="0"/>
    <x v="0"/>
    <n v="3"/>
    <n v="62"/>
  </r>
  <r>
    <n v="3474"/>
    <x v="232"/>
    <x v="2"/>
    <d v="2024-10-26T00:00:00"/>
    <x v="0"/>
    <n v="10"/>
    <x v="1"/>
    <x v="1"/>
    <s v="-"/>
    <x v="0"/>
    <x v="0"/>
    <n v="15"/>
    <n v="15"/>
  </r>
  <r>
    <n v="3475"/>
    <x v="233"/>
    <x v="1"/>
    <d v="2024-10-27T00:00:00"/>
    <x v="1"/>
    <n v="5"/>
    <x v="0"/>
    <x v="1"/>
    <s v="-"/>
    <x v="1"/>
    <x v="1"/>
    <n v="1"/>
    <n v="4"/>
  </r>
  <r>
    <n v="3476"/>
    <x v="234"/>
    <x v="0"/>
    <d v="2024-10-28T00:00:00"/>
    <x v="0"/>
    <n v="15"/>
    <x v="2"/>
    <x v="0"/>
    <n v="30"/>
    <x v="0"/>
    <x v="0"/>
    <n v="7"/>
    <n v="58"/>
  </r>
  <r>
    <n v="3477"/>
    <x v="235"/>
    <x v="2"/>
    <d v="2024-10-29T00:00:00"/>
    <x v="1"/>
    <n v="10"/>
    <x v="0"/>
    <x v="1"/>
    <s v="-"/>
    <x v="0"/>
    <x v="0"/>
    <n v="10"/>
    <n v="20"/>
  </r>
  <r>
    <n v="3478"/>
    <x v="236"/>
    <x v="1"/>
    <d v="2024-10-30T00:00:00"/>
    <x v="0"/>
    <n v="5"/>
    <x v="1"/>
    <x v="1"/>
    <s v="-"/>
    <x v="1"/>
    <x v="1"/>
    <n v="0"/>
    <n v="5"/>
  </r>
  <r>
    <n v="3479"/>
    <x v="237"/>
    <x v="0"/>
    <d v="2024-10-31T00:00:00"/>
    <x v="1"/>
    <n v="15"/>
    <x v="0"/>
    <x v="0"/>
    <n v="30"/>
    <x v="0"/>
    <x v="0"/>
    <n v="20"/>
    <n v="45"/>
  </r>
  <r>
    <n v="3480"/>
    <x v="238"/>
    <x v="2"/>
    <d v="2024-11-01T00:00:00"/>
    <x v="0"/>
    <n v="10"/>
    <x v="2"/>
    <x v="1"/>
    <s v="-"/>
    <x v="0"/>
    <x v="0"/>
    <n v="15"/>
    <n v="15"/>
  </r>
  <r>
    <n v="3481"/>
    <x v="239"/>
    <x v="1"/>
    <d v="2024-11-02T00:00:00"/>
    <x v="1"/>
    <n v="5"/>
    <x v="0"/>
    <x v="1"/>
    <s v="-"/>
    <x v="1"/>
    <x v="1"/>
    <n v="1"/>
    <n v="4"/>
  </r>
  <r>
    <n v="3482"/>
    <x v="240"/>
    <x v="0"/>
    <d v="2024-11-03T00:00:00"/>
    <x v="0"/>
    <n v="15"/>
    <x v="1"/>
    <x v="0"/>
    <n v="30"/>
    <x v="0"/>
    <x v="0"/>
    <n v="3"/>
    <n v="62"/>
  </r>
  <r>
    <n v="3483"/>
    <x v="241"/>
    <x v="2"/>
    <d v="2024-11-04T00:00:00"/>
    <x v="1"/>
    <n v="10"/>
    <x v="0"/>
    <x v="1"/>
    <s v="-"/>
    <x v="0"/>
    <x v="0"/>
    <n v="10"/>
    <n v="20"/>
  </r>
  <r>
    <n v="3484"/>
    <x v="242"/>
    <x v="1"/>
    <d v="2024-11-05T00:00:00"/>
    <x v="0"/>
    <n v="5"/>
    <x v="2"/>
    <x v="1"/>
    <s v="-"/>
    <x v="1"/>
    <x v="1"/>
    <n v="0"/>
    <n v="5"/>
  </r>
  <r>
    <n v="3485"/>
    <x v="243"/>
    <x v="0"/>
    <d v="2024-11-06T00:00:00"/>
    <x v="1"/>
    <n v="15"/>
    <x v="0"/>
    <x v="0"/>
    <n v="30"/>
    <x v="0"/>
    <x v="0"/>
    <n v="15"/>
    <n v="50"/>
  </r>
  <r>
    <n v="3486"/>
    <x v="244"/>
    <x v="1"/>
    <d v="2024-11-07T00:00:00"/>
    <x v="0"/>
    <n v="5"/>
    <x v="0"/>
    <x v="1"/>
    <s v="-"/>
    <x v="1"/>
    <x v="1"/>
    <n v="0"/>
    <n v="5"/>
  </r>
  <r>
    <n v="3487"/>
    <x v="245"/>
    <x v="0"/>
    <d v="2024-11-08T00:00:00"/>
    <x v="1"/>
    <n v="15"/>
    <x v="2"/>
    <x v="0"/>
    <n v="30"/>
    <x v="0"/>
    <x v="0"/>
    <n v="7"/>
    <n v="58"/>
  </r>
  <r>
    <n v="3488"/>
    <x v="246"/>
    <x v="2"/>
    <d v="2024-11-09T00:00:00"/>
    <x v="0"/>
    <n v="10"/>
    <x v="1"/>
    <x v="1"/>
    <s v="-"/>
    <x v="0"/>
    <x v="0"/>
    <n v="10"/>
    <n v="20"/>
  </r>
  <r>
    <n v="3489"/>
    <x v="247"/>
    <x v="1"/>
    <d v="2024-11-10T00:00:00"/>
    <x v="1"/>
    <n v="5"/>
    <x v="2"/>
    <x v="1"/>
    <s v="-"/>
    <x v="1"/>
    <x v="1"/>
    <n v="1"/>
    <n v="4"/>
  </r>
  <r>
    <n v="3490"/>
    <x v="248"/>
    <x v="0"/>
    <d v="2024-11-11T00:00:00"/>
    <x v="0"/>
    <n v="15"/>
    <x v="0"/>
    <x v="0"/>
    <n v="30"/>
    <x v="0"/>
    <x v="0"/>
    <n v="15"/>
    <n v="50"/>
  </r>
  <r>
    <n v="3491"/>
    <x v="249"/>
    <x v="2"/>
    <d v="2024-11-12T00:00:00"/>
    <x v="1"/>
    <n v="10"/>
    <x v="0"/>
    <x v="1"/>
    <s v="-"/>
    <x v="0"/>
    <x v="0"/>
    <n v="5"/>
    <n v="25"/>
  </r>
  <r>
    <n v="3492"/>
    <x v="250"/>
    <x v="1"/>
    <d v="2024-11-13T00:00:00"/>
    <x v="0"/>
    <n v="5"/>
    <x v="1"/>
    <x v="1"/>
    <s v="-"/>
    <x v="1"/>
    <x v="1"/>
    <n v="0"/>
    <n v="5"/>
  </r>
  <r>
    <n v="3493"/>
    <x v="251"/>
    <x v="0"/>
    <d v="2024-11-14T00:00:00"/>
    <x v="1"/>
    <n v="15"/>
    <x v="2"/>
    <x v="0"/>
    <n v="30"/>
    <x v="0"/>
    <x v="0"/>
    <n v="20"/>
    <n v="45"/>
  </r>
  <r>
    <n v="3494"/>
    <x v="252"/>
    <x v="2"/>
    <d v="2024-11-15T00:00:00"/>
    <x v="0"/>
    <n v="10"/>
    <x v="2"/>
    <x v="1"/>
    <s v="-"/>
    <x v="0"/>
    <x v="0"/>
    <n v="12"/>
    <n v="18"/>
  </r>
  <r>
    <n v="3495"/>
    <x v="253"/>
    <x v="1"/>
    <d v="2024-11-16T00:00:00"/>
    <x v="1"/>
    <n v="5"/>
    <x v="0"/>
    <x v="1"/>
    <s v="-"/>
    <x v="1"/>
    <x v="1"/>
    <n v="2"/>
    <n v="3"/>
  </r>
  <r>
    <n v="3496"/>
    <x v="254"/>
    <x v="0"/>
    <d v="2024-11-17T00:00:00"/>
    <x v="0"/>
    <n v="15"/>
    <x v="1"/>
    <x v="0"/>
    <n v="30"/>
    <x v="0"/>
    <x v="0"/>
    <n v="5"/>
    <n v="60"/>
  </r>
  <r>
    <n v="3497"/>
    <x v="255"/>
    <x v="2"/>
    <d v="2024-11-18T00:00:00"/>
    <x v="1"/>
    <n v="10"/>
    <x v="0"/>
    <x v="1"/>
    <s v="-"/>
    <x v="0"/>
    <x v="0"/>
    <n v="10"/>
    <n v="20"/>
  </r>
  <r>
    <n v="3498"/>
    <x v="256"/>
    <x v="1"/>
    <d v="2024-11-19T00:00:00"/>
    <x v="0"/>
    <n v="5"/>
    <x v="2"/>
    <x v="1"/>
    <s v="-"/>
    <x v="1"/>
    <x v="1"/>
    <n v="0"/>
    <n v="5"/>
  </r>
  <r>
    <n v="3499"/>
    <x v="257"/>
    <x v="0"/>
    <d v="2024-11-20T00:00:00"/>
    <x v="1"/>
    <n v="15"/>
    <x v="0"/>
    <x v="0"/>
    <n v="30"/>
    <x v="0"/>
    <x v="0"/>
    <n v="3"/>
    <n v="62"/>
  </r>
  <r>
    <n v="3500"/>
    <x v="258"/>
    <x v="2"/>
    <d v="2024-11-21T00:00:00"/>
    <x v="0"/>
    <n v="10"/>
    <x v="1"/>
    <x v="1"/>
    <s v="-"/>
    <x v="0"/>
    <x v="0"/>
    <n v="15"/>
    <n v="15"/>
  </r>
  <r>
    <n v="3501"/>
    <x v="259"/>
    <x v="1"/>
    <d v="2024-11-22T00:00:00"/>
    <x v="1"/>
    <n v="5"/>
    <x v="0"/>
    <x v="1"/>
    <s v="-"/>
    <x v="1"/>
    <x v="1"/>
    <n v="1"/>
    <n v="4"/>
  </r>
  <r>
    <n v="3502"/>
    <x v="260"/>
    <x v="0"/>
    <d v="2024-11-23T00:00:00"/>
    <x v="0"/>
    <n v="15"/>
    <x v="2"/>
    <x v="0"/>
    <n v="30"/>
    <x v="0"/>
    <x v="0"/>
    <n v="7"/>
    <n v="58"/>
  </r>
  <r>
    <n v="3503"/>
    <x v="119"/>
    <x v="2"/>
    <d v="2024-11-24T00:00:00"/>
    <x v="1"/>
    <n v="10"/>
    <x v="0"/>
    <x v="1"/>
    <s v="-"/>
    <x v="0"/>
    <x v="0"/>
    <n v="10"/>
    <n v="20"/>
  </r>
  <r>
    <n v="3504"/>
    <x v="261"/>
    <x v="1"/>
    <d v="2024-11-25T00:00:00"/>
    <x v="0"/>
    <n v="5"/>
    <x v="1"/>
    <x v="1"/>
    <s v="-"/>
    <x v="1"/>
    <x v="1"/>
    <n v="0"/>
    <n v="5"/>
  </r>
  <r>
    <n v="3505"/>
    <x v="262"/>
    <x v="0"/>
    <d v="2024-11-26T00:00:00"/>
    <x v="1"/>
    <n v="15"/>
    <x v="0"/>
    <x v="0"/>
    <n v="30"/>
    <x v="0"/>
    <x v="0"/>
    <n v="20"/>
    <n v="45"/>
  </r>
  <r>
    <n v="3506"/>
    <x v="263"/>
    <x v="2"/>
    <d v="2024-11-27T00:00:00"/>
    <x v="0"/>
    <n v="10"/>
    <x v="2"/>
    <x v="1"/>
    <s v="-"/>
    <x v="0"/>
    <x v="0"/>
    <n v="15"/>
    <n v="15"/>
  </r>
  <r>
    <n v="3507"/>
    <x v="264"/>
    <x v="1"/>
    <d v="2024-11-28T00:00:00"/>
    <x v="1"/>
    <n v="5"/>
    <x v="0"/>
    <x v="1"/>
    <s v="-"/>
    <x v="1"/>
    <x v="1"/>
    <n v="1"/>
    <n v="4"/>
  </r>
  <r>
    <n v="3508"/>
    <x v="265"/>
    <x v="0"/>
    <d v="2024-11-29T00:00:00"/>
    <x v="0"/>
    <n v="15"/>
    <x v="1"/>
    <x v="0"/>
    <n v="30"/>
    <x v="0"/>
    <x v="0"/>
    <n v="3"/>
    <n v="62"/>
  </r>
  <r>
    <n v="3509"/>
    <x v="266"/>
    <x v="2"/>
    <d v="2024-11-30T00:00:00"/>
    <x v="1"/>
    <n v="10"/>
    <x v="0"/>
    <x v="1"/>
    <s v="-"/>
    <x v="0"/>
    <x v="0"/>
    <n v="10"/>
    <n v="20"/>
  </r>
  <r>
    <n v="3510"/>
    <x v="267"/>
    <x v="1"/>
    <d v="2024-12-01T00:00:00"/>
    <x v="0"/>
    <n v="5"/>
    <x v="2"/>
    <x v="1"/>
    <s v="-"/>
    <x v="1"/>
    <x v="1"/>
    <n v="0"/>
    <n v="5"/>
  </r>
  <r>
    <n v="3511"/>
    <x v="268"/>
    <x v="0"/>
    <d v="2024-12-02T00:00:00"/>
    <x v="1"/>
    <n v="15"/>
    <x v="0"/>
    <x v="0"/>
    <n v="30"/>
    <x v="0"/>
    <x v="0"/>
    <n v="15"/>
    <n v="50"/>
  </r>
  <r>
    <n v="3512"/>
    <x v="269"/>
    <x v="2"/>
    <d v="2024-12-03T00:00:00"/>
    <x v="0"/>
    <n v="10"/>
    <x v="1"/>
    <x v="1"/>
    <s v="-"/>
    <x v="0"/>
    <x v="0"/>
    <n v="15"/>
    <n v="15"/>
  </r>
  <r>
    <n v="3513"/>
    <x v="270"/>
    <x v="1"/>
    <d v="2024-12-04T00:00:00"/>
    <x v="1"/>
    <n v="5"/>
    <x v="0"/>
    <x v="1"/>
    <s v="-"/>
    <x v="1"/>
    <x v="1"/>
    <n v="1"/>
    <n v="4"/>
  </r>
  <r>
    <n v="3514"/>
    <x v="271"/>
    <x v="0"/>
    <d v="2024-12-05T00:00:00"/>
    <x v="0"/>
    <n v="15"/>
    <x v="2"/>
    <x v="0"/>
    <n v="30"/>
    <x v="0"/>
    <x v="0"/>
    <n v="7"/>
    <n v="58"/>
  </r>
  <r>
    <n v="3515"/>
    <x v="130"/>
    <x v="2"/>
    <d v="2024-12-06T00:00:00"/>
    <x v="1"/>
    <n v="10"/>
    <x v="0"/>
    <x v="1"/>
    <s v="-"/>
    <x v="0"/>
    <x v="0"/>
    <n v="10"/>
    <n v="20"/>
  </r>
  <r>
    <n v="3516"/>
    <x v="131"/>
    <x v="1"/>
    <d v="2024-12-07T00:00:00"/>
    <x v="0"/>
    <n v="5"/>
    <x v="1"/>
    <x v="1"/>
    <s v="-"/>
    <x v="1"/>
    <x v="1"/>
    <n v="0"/>
    <n v="5"/>
  </r>
  <r>
    <n v="3517"/>
    <x v="181"/>
    <x v="0"/>
    <d v="2024-12-08T00:00:00"/>
    <x v="1"/>
    <n v="15"/>
    <x v="0"/>
    <x v="0"/>
    <n v="30"/>
    <x v="0"/>
    <x v="0"/>
    <n v="20"/>
    <n v="45"/>
  </r>
  <r>
    <n v="3518"/>
    <x v="272"/>
    <x v="2"/>
    <d v="2024-12-09T00:00:00"/>
    <x v="0"/>
    <n v="10"/>
    <x v="2"/>
    <x v="1"/>
    <s v="-"/>
    <x v="0"/>
    <x v="0"/>
    <n v="12"/>
    <n v="18"/>
  </r>
  <r>
    <n v="3519"/>
    <x v="273"/>
    <x v="1"/>
    <d v="2024-12-10T00:00:00"/>
    <x v="1"/>
    <n v="5"/>
    <x v="0"/>
    <x v="1"/>
    <s v="-"/>
    <x v="1"/>
    <x v="1"/>
    <n v="2"/>
    <n v="3"/>
  </r>
  <r>
    <n v="3520"/>
    <x v="274"/>
    <x v="0"/>
    <d v="2024-12-11T00:00:00"/>
    <x v="0"/>
    <n v="15"/>
    <x v="1"/>
    <x v="0"/>
    <n v="30"/>
    <x v="0"/>
    <x v="0"/>
    <n v="5"/>
    <n v="60"/>
  </r>
  <r>
    <n v="3521"/>
    <x v="275"/>
    <x v="2"/>
    <d v="2024-12-12T00:00:00"/>
    <x v="1"/>
    <n v="10"/>
    <x v="0"/>
    <x v="1"/>
    <s v="-"/>
    <x v="0"/>
    <x v="0"/>
    <n v="10"/>
    <n v="20"/>
  </r>
  <r>
    <n v="3522"/>
    <x v="276"/>
    <x v="1"/>
    <d v="2024-12-13T00:00:00"/>
    <x v="0"/>
    <n v="5"/>
    <x v="2"/>
    <x v="1"/>
    <s v="-"/>
    <x v="1"/>
    <x v="1"/>
    <n v="0"/>
    <n v="5"/>
  </r>
  <r>
    <n v="3523"/>
    <x v="277"/>
    <x v="0"/>
    <d v="2024-12-14T00:00:00"/>
    <x v="1"/>
    <n v="15"/>
    <x v="0"/>
    <x v="0"/>
    <n v="30"/>
    <x v="0"/>
    <x v="0"/>
    <n v="3"/>
    <n v="62"/>
  </r>
  <r>
    <n v="3524"/>
    <x v="278"/>
    <x v="2"/>
    <d v="2024-12-15T00:00:00"/>
    <x v="0"/>
    <n v="10"/>
    <x v="1"/>
    <x v="1"/>
    <s v="-"/>
    <x v="0"/>
    <x v="0"/>
    <n v="15"/>
    <n v="15"/>
  </r>
  <r>
    <n v="3525"/>
    <x v="279"/>
    <x v="1"/>
    <d v="2024-12-16T00:00:00"/>
    <x v="1"/>
    <n v="5"/>
    <x v="0"/>
    <x v="1"/>
    <s v="-"/>
    <x v="1"/>
    <x v="1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C0F058-1D9A-4C86-AAC9-2B2D8A013B80}" name="minecraft pass" cacheId="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B32:C34" firstHeaderRow="1" firstDataRow="1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h="1" x="2"/>
        <item x="0"/>
        <item t="default"/>
      </items>
    </pivotField>
    <pivotField numFmtId="14" showAll="0"/>
    <pivotField showAll="0"/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axis="axisRow" showAll="0">
      <items count="3">
        <item h="1" x="1"/>
        <item x="0"/>
        <item t="default"/>
      </items>
    </pivotField>
    <pivotField numFmtId="44" showAll="0">
      <items count="3">
        <item x="1"/>
        <item x="0"/>
        <item t="default"/>
      </items>
    </pivotField>
    <pivotField numFmtId="44" showAll="0"/>
    <pivotField dataField="1" numFmtId="44" showAll="0"/>
  </pivotFields>
  <rowFields count="1">
    <field x="9"/>
  </rowFields>
  <rowItems count="2">
    <i>
      <x v="1"/>
    </i>
    <i t="grand">
      <x/>
    </i>
  </rowItems>
  <colItems count="1">
    <i/>
  </colItems>
  <dataFields count="1">
    <dataField name="Soma de Total Value" fld="12" baseField="0" baseItem="0"/>
  </dataFields>
  <chartFormats count="1">
    <chartFormat chart="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FAD3D1-2F9D-41B0-BE3A-D9AB265ACC1F}" name="ea_pass" cacheId="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B24:C26" firstHeaderRow="1" firstDataRow="1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h="1" x="2"/>
        <item x="0"/>
        <item t="default"/>
      </items>
    </pivotField>
    <pivotField numFmtId="14" showAll="0"/>
    <pivotField showAll="0"/>
    <pivotField numFmtId="44" showAll="0"/>
    <pivotField showAll="0">
      <items count="4">
        <item x="1"/>
        <item x="0"/>
        <item x="2"/>
        <item t="default"/>
      </items>
    </pivotField>
    <pivotField axis="axisRow" showAll="0">
      <items count="3">
        <item h="1" x="1"/>
        <item x="0"/>
        <item t="default"/>
      </items>
    </pivotField>
    <pivotField showAll="0"/>
    <pivotField showAll="0"/>
    <pivotField numFmtId="44" showAll="0"/>
    <pivotField numFmtId="44" showAll="0"/>
    <pivotField dataField="1" numFmtId="44" showAll="0"/>
  </pivotFields>
  <rowFields count="1">
    <field x="7"/>
  </rowFields>
  <rowItems count="2">
    <i>
      <x v="1"/>
    </i>
    <i t="grand">
      <x/>
    </i>
  </rowItems>
  <colItems count="1">
    <i/>
  </colItems>
  <dataFields count="1">
    <dataField name="Soma de Total Value" fld="12" baseField="0" baseItem="0"/>
  </dataFields>
  <chartFormats count="1">
    <chartFormat chart="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3E7FDB-2452-4F3B-A6C3-1163A7DF754B}" name="Tabela dinâmica3" cacheId="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B14:F18" firstHeaderRow="1" firstDataRow="2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h="1" x="2"/>
        <item x="0"/>
        <item t="default"/>
      </items>
    </pivotField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Soma de Total Value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D346E1-6A5D-41D9-8304-A10BB2E4E43B}" name="Total vendas" cacheId="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B5:C8" firstHeaderRow="1" firstDataRow="1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h="1" x="2"/>
        <item x="0"/>
        <item t="default"/>
      </items>
    </pivotField>
    <pivotField numFmtId="14" showAll="0"/>
    <pivotField showAll="0"/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2"/>
  </rowFields>
  <rowItems count="3">
    <i>
      <x/>
    </i>
    <i>
      <x v="2"/>
    </i>
    <i t="grand">
      <x/>
    </i>
  </rowItems>
  <colItems count="1">
    <i/>
  </colItems>
  <dataFields count="1">
    <dataField name="Soma de Total Value" fld="12" baseField="0" baseItem="0"/>
  </dataFields>
  <chartFormats count="1">
    <chartFormat chart="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B3F12DAE-19A9-4BF2-A992-D5A8024A5C32}" sourceName="Plan">
  <pivotTables>
    <pivotTable tabId="3" name="Total vendas"/>
    <pivotTable tabId="3" name="ea_pass"/>
    <pivotTable tabId="3" name="minecraft pass"/>
    <pivotTable tabId="3" name="Tabela dinâmica3"/>
  </pivotTables>
  <data>
    <tabular pivotCacheId="471574714">
      <items count="3">
        <i x="1" s="1"/>
        <i x="2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lanos" xr10:uid="{7EB713ED-8251-4223-9319-546FE45947D9}" cache="SegmentaçãodeDados_Plan" caption="Planos" style="SlicerStyleLight6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7">
  <autoFilter ref="A1:M296" xr:uid="{34E0E886-4200-4B36-97B3-63DB74FF40A0}"/>
  <tableColumns count="13">
    <tableColumn id="1" xr3:uid="{C4A90516-688A-46BF-9167-EA16C2A8A652}" name="Subscriber ID" dataDxfId="16"/>
    <tableColumn id="2" xr3:uid="{53DD39D0-2220-4121-9E9D-4EAA7E151C0F}" name="Name" dataDxfId="15"/>
    <tableColumn id="3" xr3:uid="{4F5FF271-4C57-4BE0-8F2C-F82C8551625C}" name="Plan" dataDxfId="14"/>
    <tableColumn id="4" xr3:uid="{8C17EB93-79B9-4E55-B8F7-BEB82F8253E9}" name="Start Date" dataDxfId="13"/>
    <tableColumn id="5" xr3:uid="{48CEDF9B-1689-482A-A828-5CCE7713264A}" name="Auto Renewal" dataDxfId="12"/>
    <tableColumn id="6" xr3:uid="{78B82374-9AA7-4E38-AE4F-78CDE6C83720}" name="Subscription Price" dataDxfId="11" dataCellStyle="Moeda"/>
    <tableColumn id="7" xr3:uid="{F2433F68-AF33-49D0-B1FB-19A396074EDE}" name="Subscription Type" dataDxfId="10"/>
    <tableColumn id="8" xr3:uid="{FD4D9C95-F6E5-4933-9068-A71FF7DF9343}" name="EA Play Season Pass" dataDxfId="9"/>
    <tableColumn id="13" xr3:uid="{978DD0D2-834E-4CE4-A39B-30976086932F}" name="EA Play Season Pass_x000a_Price" dataDxfId="8" dataCellStyle="Moeda"/>
    <tableColumn id="9" xr3:uid="{6E29F111-C395-4580-9DAD-3407D9E8B1A4}" name="Minecraft Season Pass" dataDxfId="7"/>
    <tableColumn id="10" xr3:uid="{EF544EAA-7F25-4FD5-A10E-8E62804DB9E3}" name="Minecraft Season Pass Price" dataDxfId="6" dataCellStyle="Moeda"/>
    <tableColumn id="11" xr3:uid="{7F6EB64A-1F07-4E48-9F0F-AC7D9DCD26F8}" name="Coupon Value" dataDxfId="5" dataCellStyle="Moeda"/>
    <tableColumn id="12" xr3:uid="{2B04ABC8-DE6F-426E-ADC0-D8AFC68CA58E}" name="Total Value" dataDxfId="4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6" sqref="B6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A2" sqref="A2:M296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F34"/>
  <sheetViews>
    <sheetView showGridLines="0" workbookViewId="0">
      <selection activeCell="F34" sqref="F34"/>
    </sheetView>
  </sheetViews>
  <sheetFormatPr defaultRowHeight="14.25"/>
  <cols>
    <col min="2" max="2" width="19.125" bestFit="1" customWidth="1"/>
    <col min="3" max="3" width="19.5" bestFit="1" customWidth="1"/>
    <col min="4" max="4" width="7.875" bestFit="1" customWidth="1"/>
    <col min="5" max="5" width="9.125" bestFit="1" customWidth="1"/>
    <col min="6" max="6" width="10.75" bestFit="1" customWidth="1"/>
    <col min="7" max="7" width="9.625" bestFit="1" customWidth="1"/>
    <col min="8" max="8" width="8.875" bestFit="1" customWidth="1"/>
    <col min="9" max="9" width="8.125" bestFit="1" customWidth="1"/>
    <col min="10" max="10" width="13" bestFit="1" customWidth="1"/>
    <col min="11" max="11" width="10.875" bestFit="1" customWidth="1"/>
    <col min="12" max="12" width="8.875" bestFit="1" customWidth="1"/>
    <col min="13" max="13" width="8.125" bestFit="1" customWidth="1"/>
    <col min="14" max="14" width="14.25" bestFit="1" customWidth="1"/>
    <col min="15" max="15" width="10.75" bestFit="1" customWidth="1"/>
    <col min="16" max="16" width="15.625" bestFit="1" customWidth="1"/>
    <col min="17" max="17" width="12.125" bestFit="1" customWidth="1"/>
  </cols>
  <sheetData>
    <row r="3" spans="2:6">
      <c r="B3" t="s">
        <v>317</v>
      </c>
    </row>
    <row r="5" spans="2:6">
      <c r="B5" s="13" t="s">
        <v>313</v>
      </c>
      <c r="C5" t="s">
        <v>315</v>
      </c>
    </row>
    <row r="6" spans="2:6">
      <c r="B6" s="14" t="s">
        <v>22</v>
      </c>
      <c r="C6" s="15">
        <v>444</v>
      </c>
    </row>
    <row r="7" spans="2:6">
      <c r="B7" s="14" t="s">
        <v>18</v>
      </c>
      <c r="C7" s="15">
        <v>5388</v>
      </c>
    </row>
    <row r="8" spans="2:6">
      <c r="B8" s="14" t="s">
        <v>314</v>
      </c>
      <c r="C8" s="15">
        <v>5832</v>
      </c>
    </row>
    <row r="12" spans="2:6">
      <c r="B12" s="14" t="s">
        <v>318</v>
      </c>
    </row>
    <row r="14" spans="2:6">
      <c r="B14" s="13" t="s">
        <v>315</v>
      </c>
      <c r="C14" s="13" t="s">
        <v>316</v>
      </c>
    </row>
    <row r="15" spans="2:6">
      <c r="B15" s="13" t="s">
        <v>313</v>
      </c>
      <c r="C15" t="s">
        <v>24</v>
      </c>
      <c r="D15" t="s">
        <v>20</v>
      </c>
      <c r="E15" t="s">
        <v>27</v>
      </c>
      <c r="F15" t="s">
        <v>314</v>
      </c>
    </row>
    <row r="16" spans="2:6">
      <c r="B16" s="14" t="s">
        <v>23</v>
      </c>
      <c r="C16" s="15">
        <v>147</v>
      </c>
      <c r="D16" s="15">
        <v>1976</v>
      </c>
      <c r="E16" s="15">
        <v>755</v>
      </c>
      <c r="F16" s="15">
        <v>2878</v>
      </c>
    </row>
    <row r="17" spans="2:6">
      <c r="B17" s="14" t="s">
        <v>19</v>
      </c>
      <c r="C17" s="15">
        <v>1159</v>
      </c>
      <c r="D17" s="15">
        <v>637</v>
      </c>
      <c r="E17" s="15">
        <v>1158</v>
      </c>
      <c r="F17" s="15">
        <v>2954</v>
      </c>
    </row>
    <row r="18" spans="2:6">
      <c r="B18" s="14" t="s">
        <v>314</v>
      </c>
      <c r="C18" s="15">
        <v>1306</v>
      </c>
      <c r="D18" s="15">
        <v>2613</v>
      </c>
      <c r="E18" s="15">
        <v>1913</v>
      </c>
      <c r="F18" s="15">
        <v>5832</v>
      </c>
    </row>
    <row r="22" spans="2:6">
      <c r="B22" t="s">
        <v>319</v>
      </c>
    </row>
    <row r="24" spans="2:6">
      <c r="B24" s="13" t="s">
        <v>313</v>
      </c>
      <c r="C24" t="s">
        <v>315</v>
      </c>
    </row>
    <row r="25" spans="2:6">
      <c r="B25" s="14" t="s">
        <v>19</v>
      </c>
      <c r="C25" s="15">
        <v>5388</v>
      </c>
    </row>
    <row r="26" spans="2:6">
      <c r="B26" s="14" t="s">
        <v>314</v>
      </c>
      <c r="C26" s="15">
        <v>5388</v>
      </c>
    </row>
    <row r="27" spans="2:6">
      <c r="F27" s="16">
        <f>GETPIVOTDATA("Total Value",$B$24)</f>
        <v>5388</v>
      </c>
    </row>
    <row r="30" spans="2:6">
      <c r="B30" t="s">
        <v>320</v>
      </c>
    </row>
    <row r="32" spans="2:6">
      <c r="B32" s="13" t="s">
        <v>313</v>
      </c>
      <c r="C32" t="s">
        <v>315</v>
      </c>
    </row>
    <row r="33" spans="2:6">
      <c r="B33" s="14" t="s">
        <v>19</v>
      </c>
      <c r="C33" s="15">
        <v>5388</v>
      </c>
    </row>
    <row r="34" spans="2:6">
      <c r="B34" s="14" t="s">
        <v>314</v>
      </c>
      <c r="C34" s="15">
        <v>5388</v>
      </c>
      <c r="F34" s="16">
        <f>GETPIVOTDATA("Total Value",$B$32)</f>
        <v>5388</v>
      </c>
    </row>
  </sheetData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Z683"/>
  <sheetViews>
    <sheetView showGridLines="0" tabSelected="1" zoomScaleNormal="100" workbookViewId="0">
      <selection activeCell="A18" sqref="A18"/>
    </sheetView>
  </sheetViews>
  <sheetFormatPr defaultRowHeight="14.25"/>
  <cols>
    <col min="1" max="1" width="27.25" style="12" customWidth="1"/>
    <col min="2" max="2" width="6" customWidth="1"/>
    <col min="3" max="3" width="19.625" bestFit="1" customWidth="1"/>
    <col min="4" max="4" width="8" bestFit="1" customWidth="1"/>
    <col min="5" max="5" width="9.375" bestFit="1" customWidth="1"/>
    <col min="6" max="6" width="10.75" bestFit="1" customWidth="1"/>
    <col min="12" max="12" width="6.625" customWidth="1"/>
    <col min="19" max="19" width="5.5" customWidth="1"/>
  </cols>
  <sheetData>
    <row r="2" spans="2:26" ht="27.75" customHeight="1" thickBot="1">
      <c r="C2" s="17" t="s">
        <v>321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2:26" ht="10.5" customHeight="1" thickTop="1"/>
    <row r="4" spans="2:26" ht="8.25" customHeight="1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2:26" ht="7.5" customHeight="1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2:26" ht="10.5" customHeight="1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2:26" ht="9.75" customHeight="1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2:26" ht="33" customHeight="1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2:26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2:26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2:26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2:26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2:26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2:26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2:26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2:26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2:26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2:26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2:26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2:26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2:26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2:26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2:26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2:26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2:26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2:26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2:26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2:26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2:26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2:26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2:26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2:26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2:26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2:26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2:26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2:26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2:26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2:26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2:26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2:26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2:26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2:26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2:26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2:26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2:26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2:26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2:26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2:26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2:26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2:26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2:26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2:26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2:26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2:26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2:26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2:26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2:26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2:26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2:26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2:26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2:26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2:26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2:26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2:26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2:26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2:26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2:26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2:26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2:26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2:26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2:26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2:26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2:26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2:26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2:26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2:26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2:26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2:26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2:26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2:26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2:26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2:26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2:26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2:26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2:26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2:26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2:26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2:26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2:26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2:26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2:26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2:26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2:26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2:26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2:26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2:26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2:26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2:26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2:26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2:26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2:26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2:26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2:26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2:26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2:26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2:26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2:26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2:26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2:26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2:26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2:26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2:26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2:26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2:26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2:26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2:26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2:26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2:26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2:26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2:26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2:26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2:26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2:26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2:26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2:26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2:26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2:26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2:26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2:26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2:26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2:26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2:26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2:26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2:26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2:26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2:26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2:26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2:26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2:26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2:26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2:26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2:26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2:26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2:26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2:26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2:26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2:26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2:26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2:26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2:26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2:26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2:26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2:26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2:26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2:26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2:26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2:26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2:26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2:26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2:26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2:26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2:26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2:26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2:26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2:26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2:26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2:26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2:26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2:26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2:26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2:26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2:26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2:26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2:26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2:26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2:26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2:26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2:26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2:26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2:26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2:26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2:26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2:26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2:26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2:26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2:26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2:26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2:26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2:26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2:26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2:26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2:26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2:26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2:26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2:26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2:26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2:26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2:26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2:26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2:26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2:26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2:26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2:26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2:26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2:26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2:26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2:26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2:26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2:26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2:26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2:26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2:26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2:26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2:26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2:26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2:26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2:26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2:26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2:26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2:26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2:26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2:26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2:26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2:26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2:26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2:26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2:26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2:26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2:26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2:26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2:26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2:26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2:26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2:26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2:26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2:26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2:26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2:26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2:26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2:26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2:26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2:26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2:26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2:26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2:26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2:26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2:26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2:26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2:26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2:26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2:26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2:26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2:26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2:26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2:26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2:26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2:26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2:26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2:26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2:26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2:26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2:26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2:26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2:26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2:26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2:26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2:26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2:26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2:26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2:26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2:26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2:26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2:26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2:26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2:26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2:26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2:26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2:26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2:26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2:26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2:26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2:26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2:26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2:26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2:26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2:26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2:26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2:26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2:26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2:26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2:26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2:26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2:26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2:26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2:26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2:26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2:26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2:26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2:26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2:26"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2:26"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2:26"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2:26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2:26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2:26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2:26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2:26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2:26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2:26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2:26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2:26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2:26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2:26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2:26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2:26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2:26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2:26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2:26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2:26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2:26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2:26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2:26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2:26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2:26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2:26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2:26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2:26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2:26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2:26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2:26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2:26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2:26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2:26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2:26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2:26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2:26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2:26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2:26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2:26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2:26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2:26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2:26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2:26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2:26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2:26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2:26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2:26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2:26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2:26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2:26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2:26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2:26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2:26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2:26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2:26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2:26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2:26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2:26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2:26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2:26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2:26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2:26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2:26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2:26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2:26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2:26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2:26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2:26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2:26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2:26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2:26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2:26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2:26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2:26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2:26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2:26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2:26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2:26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2:26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2:26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2:26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2:26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2:26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2:26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2:26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2:26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2:26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2:26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2:26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2:26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2:26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2:26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2:26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2:26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2:26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2:26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2:26"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2:26"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2:26"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2:26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2:26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2:26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2:26"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2:26"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2:26"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2:26"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2:26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2:26"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2:26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2:26"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2:26"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2:26"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2:26"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2:26"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2:26"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2:26"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2:26"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2:26"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2:26"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2:26"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2:26"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2:26"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2:26"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2:26"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2:26"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2:26"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2:26"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2:26"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2:26"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2:26"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2:26"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2:26"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2:26"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2:26"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2:26"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2:26"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2:26"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2:26"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2:26"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2:26"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2:26"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2:26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2:26"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2:26"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2:26"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2:26"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2:26"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2:26"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2:26"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2:26"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2:26"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2:26"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2:26"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2:26"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2:26"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2:26"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2:26"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2:26"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2:26"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2:26"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2:26"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2:26"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2:26"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2:26"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2:26"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2:26"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2:26"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2:26"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2:26"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2:26"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2:26"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2:26"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2:26"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2:26"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2:26"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2:26"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2:26"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2:26"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2:26"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2:26"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2:26"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2:26"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2:26"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2:26"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2:26"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2:26"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2:26"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2:26"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2:26"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2:26"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2:26"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2:26"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2:26"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2:26"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2:26"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2:26"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2:26"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2:26"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2:26"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2:26"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2:26"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2:26"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2:26"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2:26"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2:26"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2:26"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2:26"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2:26"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2:26"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2:26"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2:26"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2:26"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2:26"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2:26"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2:26"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2:26"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2:26"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2:26"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2:26"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2:26"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2:26"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2:26"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2:26"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2:26"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2:26"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2:26"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2:26"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2:26"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2:26"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2:26"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2:26"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2:26"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2:26"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2:26"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2:26"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2:26"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2:26"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2:26"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2:26"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2:26"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2:26"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2:26"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2:26"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2:26"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2:26"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2:26"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2:26"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2:26"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2:26"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2:26"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2:26"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2:26"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2:26"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2:26"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2:26"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2:26"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2:26"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2:26"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2:26"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2:26"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2:26"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2:26"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2:26"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2:26"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2:26"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2:26"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2:26"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2:26"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2:26"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2:26"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2:26"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2:26"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2:26"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2:26"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2:26"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2:26"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2:26"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2:26"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2:26"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2:26"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2:26"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2:26"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2:26"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2:26"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2:26"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2:26"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2:26"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2:26"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2:26"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2:26"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2:26"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2:26"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2:26"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2:26"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2:26"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2:26"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2:26"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2:26"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2:26"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2:26"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2:26"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2:26"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2:26"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2:26"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2:26"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2:26"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2:26"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2:26"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2:26"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2:26"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2:26"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2:26"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2:26"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2:26"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2:26"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2:26"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2:26"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2:26"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2:26"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2:26"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2:26"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2:26"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2:26"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2:26"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2:26"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2:26"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2:26"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2:26"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2:26"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2:26"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2:26"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2:26"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2:26"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2:26"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2:26"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2:26"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2:26"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2:26"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2:26"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2:26"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2:26"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2:26"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2:26"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2:26"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2:26"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2:26"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2:26"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2:26"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2:26"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2:26"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2:26"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2:26"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2:26"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2:26"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2:26"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2:26"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2:26"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2:26"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2:26"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2:26"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2:26"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2:26"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2:26"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2:26"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2:26"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2:26"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2:26"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2:26"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2:26"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2:26"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2:26"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2:26"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2:26"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2:26"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2:26"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2:26"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2:26"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2:26"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2:26"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2:26"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2:26"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2:26"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2:26"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2</vt:i4>
      </vt:variant>
    </vt:vector>
  </HeadingPairs>
  <TitlesOfParts>
    <vt:vector size="6" baseType="lpstr">
      <vt:lpstr>A̳ssets</vt:lpstr>
      <vt:lpstr>B̳ases</vt:lpstr>
      <vt:lpstr>C̳álculos</vt:lpstr>
      <vt:lpstr>D̳ashboard</vt:lpstr>
      <vt:lpstr>ea_pass</vt:lpstr>
      <vt:lpstr>microsoft_pass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João Bianchi</cp:lastModifiedBy>
  <dcterms:created xsi:type="dcterms:W3CDTF">2024-12-19T13:13:10Z</dcterms:created>
  <dcterms:modified xsi:type="dcterms:W3CDTF">2025-10-24T06:25:02Z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